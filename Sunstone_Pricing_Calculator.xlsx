
<file path=[Content_Types].xml><?xml version="1.0" encoding="utf-8"?>
<Types xmlns="http://schemas.openxmlformats.org/package/2006/content-types">
  <Default Extension="rels" ContentType="application/vnd.openxmlformats-package.relationships+xml"/>
  <Default Extension="vml" ContentType="application/vnd.openxmlformats-officedocument.vmlDrawing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sheets/sheet4.xml" ContentType="application/vnd.openxmlformats-officedocument.spreadsheetml.worksheet+xml"/>
  <Override PartName="/xl/worksheets/sheet5.xml" ContentType="application/vnd.openxmlformats-officedocument.spreadsheetml.worksheet+xml"/>
  <Override PartName="/xl/worksheets/sheet6.xml" ContentType="application/vnd.openxmlformats-officedocument.spreadsheetml.worksheet+xml"/>
  <Override PartName="/xl/worksheets/sheet7.xml" ContentType="application/vnd.openxmlformats-officedocument.spreadsheetml.worksheet+xml"/>
  <Override PartName="/xl/worksheets/sheet8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xl/drawings/drawing1.xml" ContentType="application/vnd.openxmlformats-officedocument.drawing+xml"/>
  <Override PartName="/xl/ctrlProps/ctrlProp1.xml" ContentType="application/vnd.ms-excel.controlproperties+xml"/>
  <Override PartName="/xl/ctrlProps/ctrlProp2.xml" ContentType="application/vnd.ms-excel.controlproperties+xml"/>
  <Override PartName="/xl/ctrlProps/ctrlProp3.xml" ContentType="application/vnd.ms-excel.controlproperties+xml"/>
  <Override PartName="/xl/ctrlProps/ctrlProp4.xml" ContentType="application/vnd.ms-excel.controlproperties+xml"/>
  <Override PartName="/xl/ctrlProps/ctrlProp5.xml" ContentType="application/vnd.ms-excel.controlproperties+xml"/>
  <Override PartName="/xl/drawings/drawing2.xml" ContentType="application/vnd.openxmlformats-officedocument.drawing+xml"/>
  <Override PartName="/xl/ctrlProps/ctrlProp6.xml" ContentType="application/vnd.ms-excel.controlproperties+xml"/>
  <Override PartName="/xl/ctrlProps/ctrlProp7.xml" ContentType="application/vnd.ms-excel.controlproperties+xml"/>
  <Override PartName="/xl/ctrlProps/ctrlProp8.xml" ContentType="application/vnd.ms-excel.controlproperties+xml"/>
  <Override PartName="/xl/ctrlProps/ctrlProp9.xml" ContentType="application/vnd.ms-excel.controlproperties+xml"/>
  <Override PartName="/xl/ctrlProps/ctrlProp10.xml" ContentType="application/vnd.ms-excel.controlproperties+xml"/>
  <Override PartName="/xl/ctrlProps/ctrlProp11.xml" ContentType="application/vnd.ms-excel.controlproperties+xml"/>
  <Override PartName="/xl/ctrlProps/ctrlProp12.xml" ContentType="application/vnd.ms-excel.controlproperties+xml"/>
  <Override PartName="/xl/ctrlProps/ctrlProp13.xml" ContentType="application/vnd.ms-excel.controlproperties+xml"/>
  <Override PartName="/xl/drawings/drawing3.xml" ContentType="application/vnd.openxmlformats-officedocument.drawing+xml"/>
  <Override PartName="/xl/ctrlProps/ctrlProp14.xml" ContentType="application/vnd.ms-excel.controlproperties+xml"/>
  <Override PartName="/xl/ctrlProps/ctrlProp15.xml" ContentType="application/vnd.ms-excel.controlproperties+xml"/>
  <Override PartName="/xl/ctrlProps/ctrlProp16.xml" ContentType="application/vnd.ms-excel.controlproperties+xml"/>
  <Override PartName="/xl/ctrlProps/ctrlProp17.xml" ContentType="application/vnd.ms-excel.controlproperties+xml"/>
  <Override PartName="/xl/ctrlProps/ctrlProp18.xml" ContentType="application/vnd.ms-excel.controlproperties+xml"/>
  <Override PartName="/xl/ctrlProps/ctrlProp19.xml" ContentType="application/vnd.ms-excel.controlproperties+xml"/>
  <Override PartName="/xl/ctrlProps/ctrlProp20.xml" ContentType="application/vnd.ms-excel.controlproperties+xml"/>
  <Override PartName="/xl/ctrlProps/ctrlProp21.xml" ContentType="application/vnd.ms-excel.controlproperties+xml"/>
  <Override PartName="/xl/ctrlProps/ctrlProp22.xml" ContentType="application/vnd.ms-excel.controlproperties+xml"/>
  <Override PartName="/xl/ctrlProps/ctrlProp23.xml" ContentType="application/vnd.ms-excel.controlproperties+xml"/>
  <Override PartName="/xl/ctrlProps/ctrlProp24.xml" ContentType="application/vnd.ms-excel.controlproperties+xml"/>
  <Override PartName="/xl/ctrlProps/ctrlProp25.xml" ContentType="application/vnd.ms-excel.controlproperties+xml"/>
  <Override PartName="/xl/drawings/drawing4.xml" ContentType="application/vnd.openxmlformats-officedocument.drawing+xml"/>
  <Override PartName="/xl/ctrlProps/ctrlProp26.xml" ContentType="application/vnd.ms-excel.controlproperties+xml"/>
  <Override PartName="/xl/ctrlProps/ctrlProp27.xml" ContentType="application/vnd.ms-excel.controlproperties+xml"/>
  <Override PartName="/xl/ctrlProps/ctrlProp28.xml" ContentType="application/vnd.ms-excel.controlproperties+xml"/>
  <Override PartName="/xl/ctrlProps/ctrlProp29.xml" ContentType="application/vnd.ms-excel.controlproperties+xml"/>
  <Override PartName="/xl/ctrlProps/ctrlProp30.xml" ContentType="application/vnd.ms-excel.controlproperties+xml"/>
  <Override PartName="/xl/ctrlProps/ctrlProp31.xml" ContentType="application/vnd.ms-excel.controlproperties+xml"/>
  <Override PartName="/xl/ctrlProps/ctrlProp32.xml" ContentType="application/vnd.ms-excel.controlproperties+xml"/>
  <Override PartName="/xl/ctrlProps/ctrlProp33.xml" ContentType="application/vnd.ms-excel.controlproperties+xml"/>
  <Override PartName="/xl/ctrlProps/ctrlProp34.xml" ContentType="application/vnd.ms-excel.controlproperties+xml"/>
  <Override PartName="/xl/ctrlProps/ctrlProp35.xml" ContentType="application/vnd.ms-excel.controlproperties+xml"/>
  <Override PartName="/xl/ctrlProps/ctrlProp36.xml" ContentType="application/vnd.ms-excel.controlproperties+xml"/>
  <Override PartName="/xl/ctrlProps/ctrlProp37.xml" ContentType="application/vnd.ms-excel.controlproperties+xml"/>
  <Override PartName="/xl/ctrlProps/ctrlProp38.xml" ContentType="application/vnd.ms-excel.controlproperties+xml"/>
  <Override PartName="/xl/ctrlProps/ctrlProp39.xml" ContentType="application/vnd.ms-excel.controlproperties+xml"/>
  <Override PartName="/xl/ctrlProps/ctrlProp40.xml" ContentType="application/vnd.ms-excel.controlproperties+xml"/>
  <Override PartName="/xl/calcChain.xml" ContentType="application/vnd.openxmlformats-officedocument.spreadsheetml.calcChain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30026"/>
  <workbookPr/>
  <mc:AlternateContent xmlns:mc="http://schemas.openxmlformats.org/markup-compatibility/2006">
    <mc:Choice Requires="x15">
      <x15ac:absPath xmlns:x15ac="http://schemas.microsoft.com/office/spreadsheetml/2010/11/ac" url="https://zasls-my.sharepoint.com/personal/wesley_sunstonels_com/Documents/Projects/"/>
    </mc:Choice>
  </mc:AlternateContent>
  <xr:revisionPtr revIDLastSave="206" documentId="8_{8871AFD5-4032-4F6A-8E84-301686D1C650}" xr6:coauthVersionLast="47" xr6:coauthVersionMax="47" xr10:uidLastSave="{06B914DE-9506-46E1-A035-024CD2D6FF93}"/>
  <bookViews>
    <workbookView xWindow="-67229" yWindow="-3055" windowWidth="43300" windowHeight="17530" activeTab="6" xr2:uid="{00000000-000D-0000-FFFF-FFFF00000000}"/>
  </bookViews>
  <sheets>
    <sheet name="Calculator" sheetId="1" r:id="rId1"/>
    <sheet name="Hardware" sheetId="4" r:id="rId2"/>
    <sheet name="Rental" sheetId="5" r:id="rId3"/>
    <sheet name="Implementation" sheetId="3" r:id="rId4"/>
    <sheet name="Customer Quote" sheetId="2" r:id="rId5"/>
    <sheet name="Internal Margin" sheetId="6" state="hidden" r:id="rId6"/>
    <sheet name="Config" sheetId="7" r:id="rId7"/>
    <sheet name="Scenarios" sheetId="8" state="hidden" r:id="rId8"/>
  </sheets>
  <definedNames>
    <definedName name="_xlnm.Print_Area" localSheetId="4">'Customer Quote'!$A$1:$E$71</definedName>
  </definedNames>
  <calcPr calcId="191029"/>
  <fileRecoveryPr repairLoad="1"/>
  <extLst>
    <ext xmlns:xcalcf="http://schemas.microsoft.com/office/spreadsheetml/2018/calcfeatures" uri="{B58B0392-4F1F-4190-BB64-5DF3571DCE5F}">
      <xcalcf:calcFeatures>
        <xcalcf:feature name="microsoft.com:RD"/>
        <xcalcf:feature name="microsoft.com:Single"/>
        <xcalcf:feature name="microsoft.com:FV"/>
        <xcalcf:feature name="microsoft.com:CNMTM"/>
        <xcalcf:feature name="microsoft.com:LET_WF"/>
        <xcalcf:feature name="microsoft.com:LAMBDA_WF"/>
        <xcalcf:feature name="microsoft.com:ARRAYTEXT_WF"/>
      </xcalcf:calcFeatures>
    </ext>
  </extLst>
</workbook>
</file>

<file path=xl/calcChain.xml><?xml version="1.0" encoding="utf-8"?>
<calcChain xmlns="http://schemas.openxmlformats.org/spreadsheetml/2006/main">
  <c r="D42" i="7" l="1"/>
  <c r="D10" i="7" l="1"/>
  <c r="G41" i="7" l="1"/>
  <c r="H41" i="7"/>
  <c r="D22" i="8" l="1"/>
  <c r="C22" i="8"/>
  <c r="B22" i="8"/>
  <c r="D18" i="8"/>
  <c r="C18" i="8"/>
  <c r="B18" i="8"/>
  <c r="D15" i="8"/>
  <c r="D16" i="8" s="1"/>
  <c r="C15" i="8"/>
  <c r="C16" i="8" s="1"/>
  <c r="B15" i="8"/>
  <c r="B58" i="7"/>
  <c r="B7" i="5" s="1"/>
  <c r="D41" i="7"/>
  <c r="D40" i="7"/>
  <c r="E18" i="4" s="1"/>
  <c r="F18" i="4" s="1"/>
  <c r="D39" i="7"/>
  <c r="E17" i="4" s="1"/>
  <c r="D38" i="7"/>
  <c r="D37" i="7"/>
  <c r="E15" i="4" s="1"/>
  <c r="D36" i="7"/>
  <c r="D35" i="7"/>
  <c r="E14" i="4" s="1"/>
  <c r="E26" i="7"/>
  <c r="E25" i="7"/>
  <c r="D17" i="8" s="1"/>
  <c r="E24" i="7"/>
  <c r="C17" i="8" s="1"/>
  <c r="E23" i="7"/>
  <c r="E22" i="7"/>
  <c r="B17" i="8" s="1"/>
  <c r="C18" i="7"/>
  <c r="C17" i="7"/>
  <c r="C16" i="7"/>
  <c r="C15" i="7"/>
  <c r="C14" i="7"/>
  <c r="D9" i="7"/>
  <c r="D8" i="7"/>
  <c r="C13" i="1" s="1"/>
  <c r="D7" i="7"/>
  <c r="C12" i="1" s="1"/>
  <c r="D6" i="7"/>
  <c r="C11" i="1" s="1"/>
  <c r="D5" i="7"/>
  <c r="C10" i="1" s="1"/>
  <c r="B28" i="6"/>
  <c r="B27" i="6"/>
  <c r="B26" i="6"/>
  <c r="B25" i="6"/>
  <c r="B24" i="6"/>
  <c r="D10" i="6"/>
  <c r="B10" i="6"/>
  <c r="D9" i="6"/>
  <c r="B9" i="6"/>
  <c r="D8" i="6"/>
  <c r="B8" i="6"/>
  <c r="D7" i="6"/>
  <c r="B7" i="6"/>
  <c r="D6" i="6"/>
  <c r="B6" i="6"/>
  <c r="F2" i="6"/>
  <c r="B2" i="6"/>
  <c r="A37" i="5"/>
  <c r="A30" i="5"/>
  <c r="E31" i="4"/>
  <c r="D31" i="4"/>
  <c r="E30" i="4"/>
  <c r="E29" i="4"/>
  <c r="E28" i="4"/>
  <c r="D28" i="4"/>
  <c r="D20" i="4"/>
  <c r="D30" i="4" s="1"/>
  <c r="F30" i="4" s="1"/>
  <c r="D19" i="4"/>
  <c r="D29" i="4" s="1"/>
  <c r="E16" i="4"/>
  <c r="F25" i="3"/>
  <c r="F24" i="3"/>
  <c r="D21" i="3"/>
  <c r="F21" i="3" s="1"/>
  <c r="G20" i="3"/>
  <c r="F20" i="3"/>
  <c r="D20" i="3"/>
  <c r="G19" i="3"/>
  <c r="D19" i="3"/>
  <c r="F19" i="3" s="1"/>
  <c r="G18" i="3"/>
  <c r="D18" i="3"/>
  <c r="F18" i="3" s="1"/>
  <c r="G17" i="3"/>
  <c r="D17" i="3"/>
  <c r="F17" i="3" s="1"/>
  <c r="G16" i="3"/>
  <c r="D16" i="3"/>
  <c r="F16" i="3" s="1"/>
  <c r="D15" i="3"/>
  <c r="F15" i="3" s="1"/>
  <c r="D14" i="3"/>
  <c r="F14" i="3" s="1"/>
  <c r="D13" i="3"/>
  <c r="F13" i="3" s="1"/>
  <c r="D12" i="3"/>
  <c r="F12" i="3" s="1"/>
  <c r="D11" i="3"/>
  <c r="F11" i="3" s="1"/>
  <c r="D10" i="3"/>
  <c r="F10" i="3" s="1"/>
  <c r="B5" i="3"/>
  <c r="B4" i="3"/>
  <c r="B14" i="2"/>
  <c r="A14" i="2"/>
  <c r="B13" i="2"/>
  <c r="A13" i="2"/>
  <c r="B12" i="2"/>
  <c r="A12" i="2"/>
  <c r="B11" i="2"/>
  <c r="A11" i="2"/>
  <c r="B10" i="2"/>
  <c r="A10" i="2"/>
  <c r="B6" i="2"/>
  <c r="B4" i="2"/>
  <c r="C21" i="1"/>
  <c r="B21" i="1"/>
  <c r="B20" i="1"/>
  <c r="B18" i="1"/>
  <c r="B15" i="1"/>
  <c r="C14" i="1"/>
  <c r="B5" i="1"/>
  <c r="E19" i="4" l="1"/>
  <c r="F19" i="4" s="1"/>
  <c r="B16" i="8"/>
  <c r="B20" i="8" s="1"/>
  <c r="F31" i="4"/>
  <c r="F28" i="4"/>
  <c r="E20" i="4"/>
  <c r="F20" i="4" s="1"/>
  <c r="E6" i="6"/>
  <c r="E7" i="6"/>
  <c r="E9" i="6"/>
  <c r="E8" i="6"/>
  <c r="E10" i="6"/>
  <c r="F29" i="4"/>
  <c r="D19" i="8"/>
  <c r="D20" i="8"/>
  <c r="C19" i="8"/>
  <c r="C20" i="8"/>
  <c r="C28" i="6"/>
  <c r="D28" i="6"/>
  <c r="D27" i="6"/>
  <c r="C27" i="6"/>
  <c r="C26" i="6"/>
  <c r="D26" i="6"/>
  <c r="D25" i="6"/>
  <c r="C25" i="6"/>
  <c r="D24" i="6"/>
  <c r="C24" i="6"/>
  <c r="H6" i="6"/>
  <c r="H7" i="6"/>
  <c r="H8" i="6"/>
  <c r="H10" i="6"/>
  <c r="H9" i="6"/>
  <c r="B8" i="5"/>
  <c r="A51" i="2"/>
  <c r="B51" i="2"/>
  <c r="C51" i="2"/>
  <c r="E51" i="2"/>
  <c r="A45" i="2"/>
  <c r="B45" i="2"/>
  <c r="C45" i="2"/>
  <c r="E45" i="2"/>
  <c r="D14" i="4"/>
  <c r="D15" i="4"/>
  <c r="F15" i="4" s="1"/>
  <c r="D17" i="4"/>
  <c r="F17" i="4" s="1"/>
  <c r="D16" i="4"/>
  <c r="F16" i="4" s="1"/>
  <c r="A36" i="2"/>
  <c r="B36" i="2"/>
  <c r="C36" i="2"/>
  <c r="D36" i="2"/>
  <c r="E36" i="2"/>
  <c r="A35" i="2"/>
  <c r="B35" i="2"/>
  <c r="C35" i="2"/>
  <c r="D35" i="2"/>
  <c r="E35" i="2"/>
  <c r="B34" i="2"/>
  <c r="C34" i="2"/>
  <c r="E34" i="2"/>
  <c r="D34" i="2"/>
  <c r="A34" i="2"/>
  <c r="A33" i="2"/>
  <c r="B33" i="2"/>
  <c r="C33" i="2"/>
  <c r="D33" i="2"/>
  <c r="E33" i="2"/>
  <c r="E32" i="2"/>
  <c r="D32" i="2"/>
  <c r="C32" i="2"/>
  <c r="B32" i="2"/>
  <c r="A32" i="2"/>
  <c r="A31" i="2"/>
  <c r="B31" i="2"/>
  <c r="C31" i="2"/>
  <c r="D31" i="2"/>
  <c r="E31" i="2"/>
  <c r="A30" i="2"/>
  <c r="B30" i="2"/>
  <c r="C30" i="2"/>
  <c r="D30" i="2"/>
  <c r="E30" i="2"/>
  <c r="A29" i="2"/>
  <c r="B29" i="2"/>
  <c r="C29" i="2"/>
  <c r="D29" i="2"/>
  <c r="E29" i="2"/>
  <c r="A28" i="2"/>
  <c r="B28" i="2"/>
  <c r="C28" i="2"/>
  <c r="D28" i="2"/>
  <c r="E28" i="2"/>
  <c r="A27" i="2"/>
  <c r="B27" i="2"/>
  <c r="C27" i="2"/>
  <c r="D27" i="2"/>
  <c r="E27" i="2"/>
  <c r="B26" i="2"/>
  <c r="D26" i="2"/>
  <c r="E26" i="2"/>
  <c r="A26" i="2"/>
  <c r="C26" i="2"/>
  <c r="F23" i="3"/>
  <c r="B25" i="2"/>
  <c r="D25" i="2"/>
  <c r="A25" i="2"/>
  <c r="C25" i="2"/>
  <c r="E25" i="2"/>
  <c r="D60" i="2"/>
  <c r="E17" i="6"/>
  <c r="C19" i="1"/>
  <c r="B19" i="1"/>
  <c r="D10" i="1" s="1"/>
  <c r="F15" i="6"/>
  <c r="B6" i="3"/>
  <c r="B5" i="2"/>
  <c r="B19" i="8" l="1"/>
  <c r="C52" i="2"/>
  <c r="A52" i="2"/>
  <c r="B52" i="2"/>
  <c r="E52" i="2"/>
  <c r="C49" i="2"/>
  <c r="E49" i="2"/>
  <c r="A49" i="2"/>
  <c r="B49" i="2"/>
  <c r="C46" i="2"/>
  <c r="E46" i="2"/>
  <c r="A46" i="2"/>
  <c r="B46" i="2"/>
  <c r="B50" i="2"/>
  <c r="A50" i="2"/>
  <c r="E11" i="6"/>
  <c r="C50" i="2"/>
  <c r="E50" i="2"/>
  <c r="F33" i="4"/>
  <c r="B14" i="5" s="1"/>
  <c r="D21" i="8"/>
  <c r="D23" i="8"/>
  <c r="D24" i="8" s="1"/>
  <c r="D25" i="8"/>
  <c r="C21" i="8"/>
  <c r="C23" i="8"/>
  <c r="C24" i="8" s="1"/>
  <c r="C25" i="8"/>
  <c r="B21" i="8"/>
  <c r="B23" i="8"/>
  <c r="B24" i="8" s="1"/>
  <c r="B25" i="8"/>
  <c r="F14" i="4"/>
  <c r="A8" i="4"/>
  <c r="A42" i="2"/>
  <c r="B42" i="2"/>
  <c r="C42" i="2"/>
  <c r="E42" i="2"/>
  <c r="A44" i="2"/>
  <c r="B44" i="2"/>
  <c r="C44" i="2"/>
  <c r="E44" i="2"/>
  <c r="A43" i="2"/>
  <c r="B43" i="2"/>
  <c r="C43" i="2"/>
  <c r="E43" i="2"/>
  <c r="E37" i="2"/>
  <c r="A28" i="3"/>
  <c r="E16" i="6"/>
  <c r="D59" i="2"/>
  <c r="D11" i="1"/>
  <c r="C11" i="2" s="1"/>
  <c r="D13" i="1"/>
  <c r="C13" i="2" s="1"/>
  <c r="D14" i="1"/>
  <c r="C14" i="2" s="1"/>
  <c r="D61" i="2"/>
  <c r="E24" i="1"/>
  <c r="D12" i="1"/>
  <c r="F16" i="6"/>
  <c r="E24" i="6"/>
  <c r="F24" i="6" s="1"/>
  <c r="C10" i="2"/>
  <c r="E10" i="1"/>
  <c r="E47" i="2"/>
  <c r="C47" i="2"/>
  <c r="B47" i="2"/>
  <c r="A47" i="2"/>
  <c r="F17" i="6" l="1"/>
  <c r="F18" i="6" s="1"/>
  <c r="F19" i="6" s="1"/>
  <c r="F22" i="4"/>
  <c r="A41" i="2"/>
  <c r="B41" i="2"/>
  <c r="C41" i="2"/>
  <c r="E41" i="2"/>
  <c r="E11" i="1"/>
  <c r="D11" i="2" s="1"/>
  <c r="E25" i="6"/>
  <c r="F25" i="6" s="1"/>
  <c r="E27" i="6"/>
  <c r="F27" i="6" s="1"/>
  <c r="E13" i="1"/>
  <c r="D13" i="2" s="1"/>
  <c r="E28" i="6"/>
  <c r="F28" i="6" s="1"/>
  <c r="E14" i="1"/>
  <c r="D14" i="2" s="1"/>
  <c r="E12" i="1"/>
  <c r="E26" i="6"/>
  <c r="F26" i="6" s="1"/>
  <c r="C12" i="2"/>
  <c r="C6" i="6"/>
  <c r="F10" i="1"/>
  <c r="D10" i="2"/>
  <c r="F23" i="4" l="1"/>
  <c r="E23" i="1"/>
  <c r="C7" i="6"/>
  <c r="F11" i="1"/>
  <c r="E11" i="2" s="1"/>
  <c r="F13" i="1"/>
  <c r="E13" i="2" s="1"/>
  <c r="C9" i="6"/>
  <c r="F9" i="6" s="1"/>
  <c r="G9" i="6" s="1"/>
  <c r="C10" i="6"/>
  <c r="F10" i="6" s="1"/>
  <c r="G10" i="6" s="1"/>
  <c r="F14" i="1"/>
  <c r="E14" i="2" s="1"/>
  <c r="F12" i="1"/>
  <c r="E12" i="2" s="1"/>
  <c r="C8" i="6"/>
  <c r="F8" i="6" s="1"/>
  <c r="G8" i="6" s="1"/>
  <c r="D12" i="2"/>
  <c r="F6" i="6"/>
  <c r="E10" i="2"/>
  <c r="A48" i="2" l="1"/>
  <c r="E48" i="2"/>
  <c r="F24" i="4"/>
  <c r="A27" i="1"/>
  <c r="D16" i="2"/>
  <c r="B12" i="5"/>
  <c r="F23" i="1"/>
  <c r="G6" i="6"/>
  <c r="F7" i="6"/>
  <c r="C11" i="6"/>
  <c r="B13" i="5" l="1"/>
  <c r="B27" i="5" s="1"/>
  <c r="F35" i="4"/>
  <c r="E55" i="2" s="1"/>
  <c r="B18" i="5"/>
  <c r="E16" i="2"/>
  <c r="E56" i="2"/>
  <c r="G7" i="6"/>
  <c r="F11" i="6"/>
  <c r="G11" i="6" s="1"/>
  <c r="A38" i="4" l="1"/>
  <c r="E53" i="2"/>
  <c r="B23" i="5"/>
  <c r="B15" i="5"/>
  <c r="B19" i="5" s="1"/>
  <c r="B20" i="5" s="1"/>
  <c r="B21" i="5" l="1"/>
  <c r="B22" i="5"/>
  <c r="B28" i="5" l="1"/>
  <c r="B26" i="5"/>
  <c r="A34" i="5"/>
</calcChain>
</file>

<file path=xl/sharedStrings.xml><?xml version="1.0" encoding="utf-8"?>
<sst xmlns="http://schemas.openxmlformats.org/spreadsheetml/2006/main" count="395" uniqueCount="334">
  <si>
    <t>Sunstone Pricing Calculator</t>
  </si>
  <si>
    <t>Customer Inputs</t>
  </si>
  <si>
    <t>Customer Name:</t>
  </si>
  <si>
    <t>Quote Date:</t>
  </si>
  <si>
    <t>Number of Vehicles:</t>
  </si>
  <si>
    <t>Product Selection &amp; Pricing</t>
  </si>
  <si>
    <t>Product</t>
  </si>
  <si>
    <t>Include?</t>
  </si>
  <si>
    <t>List Price (R/veh/mo)</t>
  </si>
  <si>
    <t>Effective Price (R/veh/mo)</t>
  </si>
  <si>
    <t>Monthly Revenue (R)</t>
  </si>
  <si>
    <t>Tracking</t>
  </si>
  <si>
    <t>Fuel</t>
  </si>
  <si>
    <t>Route Builder</t>
  </si>
  <si>
    <t>Digital Journey</t>
  </si>
  <si>
    <t>Stock Master</t>
  </si>
  <si>
    <t>Configuration Check:</t>
  </si>
  <si>
    <t>Discount Summary</t>
  </si>
  <si>
    <t>Products in Bundle:</t>
  </si>
  <si>
    <t>Bundle Multiplier:</t>
  </si>
  <si>
    <t>bundle discount</t>
  </si>
  <si>
    <t>Volume Tier:</t>
  </si>
  <si>
    <t>Volume Multiplier:</t>
  </si>
  <si>
    <t>volume discount</t>
  </si>
  <si>
    <t>TOTAL MONTHLY REVENUE:</t>
  </si>
  <si>
    <t>EFFECTIVE BLENDED DISCOUNT:</t>
  </si>
  <si>
    <t>BLENDED PRICE PER VEHICLE / MONTH</t>
  </si>
  <si>
    <t>After bundle and volume discounts, blended across all selected products</t>
  </si>
  <si>
    <t>⚠ Implementation fee is quoted separately based on project scope, integrations, and training requirements.</t>
  </si>
  <si>
    <t>How to use:</t>
  </si>
  <si>
    <t>1. Enter customer name and number of vehicles in the YELLOW cells.</t>
  </si>
  <si>
    <t>2. For each product, click the YELLOW "Include?" cell and pick 1 (☑ = include) or 0 (☐ = exclude).</t>
  </si>
  <si>
    <t xml:space="preserve">   TIP: In Excel 365 you can select cells B10:B14 and use Insert &gt; Checkbox to upgrade these to</t>
  </si>
  <si>
    <t xml:space="preserve">   true clickable checkboxes — the formulas already use numeric truthy values so nothing else changes.</t>
  </si>
  <si>
    <t xml:space="preserve">   IMPORTANT: Tracking and Fuel are mutually exclusive (Fuel already includes Tracking).</t>
  </si>
  <si>
    <t xml:space="preserve">   The Configuration Check row will turn RED if both are selected.</t>
  </si>
  <si>
    <t>3. The Effective Price, Monthly Revenue, and Annual Revenue update automatically.</t>
  </si>
  <si>
    <t>4. The gold panel at row 27 shows the blended price per vehicle/month (the customer-facing headline number).</t>
  </si>
  <si>
    <t>5. Check the "Internal Margin" sheet for margin %, contribution, and step-cost warnings.</t>
  </si>
  <si>
    <t>6. Switch to "Customer Quote" sheet for the client-facing version (no cost/margin data).</t>
  </si>
  <si>
    <t>SUNSTONE LOGISTIC SYSTEMS</t>
  </si>
  <si>
    <t>Solution Quotation — Subscription, Implementation &amp; Hardware</t>
  </si>
  <si>
    <t>Prepared for:</t>
  </si>
  <si>
    <t>Quote date:</t>
  </si>
  <si>
    <t>Fleet size:</t>
  </si>
  <si>
    <t>Subscription Items</t>
  </si>
  <si>
    <t>Vehicles</t>
  </si>
  <si>
    <t>Price per Vehicle/mo</t>
  </si>
  <si>
    <t>Monthly (R)</t>
  </si>
  <si>
    <t>Annual (R)</t>
  </si>
  <si>
    <t>Total subscription value (excl. VAT)</t>
  </si>
  <si>
    <t>One-Time Implementation (Setup, Config &amp; Project Services)</t>
  </si>
  <si>
    <t>Description</t>
  </si>
  <si>
    <t>Hours</t>
  </si>
  <si>
    <t>Rate (R/hr)</t>
  </si>
  <si>
    <t>Discount</t>
  </si>
  <si>
    <t>Total (R)</t>
  </si>
  <si>
    <t>Total one-time implementation (excl. VAT)</t>
  </si>
  <si>
    <t>One-Time Hardware &amp; Installation</t>
  </si>
  <si>
    <t>Qty</t>
  </si>
  <si>
    <t>Unit Price (R)</t>
  </si>
  <si>
    <t>Total hardware &amp; installation (excl. VAT)</t>
  </si>
  <si>
    <t>YEAR-1 TOTAL COST (recurring + one-time):</t>
  </si>
  <si>
    <t xml:space="preserve">   Year 2 onwards (recurring subscription only):</t>
  </si>
  <si>
    <t>Pricing benefits included in this quote:</t>
  </si>
  <si>
    <t xml:space="preserve">  • Multi-product bundle discount:</t>
  </si>
  <si>
    <t xml:space="preserve">  • Fleet volume discount:</t>
  </si>
  <si>
    <t xml:space="preserve">  • Effective blended discount on list:</t>
  </si>
  <si>
    <t>Notes</t>
  </si>
  <si>
    <t>•  Subscription pricing is per vehicle per month, billed monthly in arrears.</t>
  </si>
  <si>
    <t>•  Implementation is a once-off charge, payable per agreed milestones at the start of the project.</t>
  </si>
  <si>
    <t>•  Hardware and installation are once-off charges, invoiced on delivery / commissioning.</t>
  </si>
  <si>
    <t>•  Hours shown on each implementation line are estimates; any variance is reconciled at project close.</t>
  </si>
  <si>
    <t>•  Quote valid for 30 days from the date shown above.</t>
  </si>
  <si>
    <t>•  All prices exclude VAT.</t>
  </si>
  <si>
    <t>Thank you for considering Sunstone Logistic Systems.</t>
  </si>
  <si>
    <t>Once-Off Implementation Costing</t>
  </si>
  <si>
    <t>Time-and-materials build-up.  Hours, resource tier (Consultant/Senior), and per-line discounts are editable per project.</t>
  </si>
  <si>
    <t>Customer:</t>
  </si>
  <si>
    <t>Vehicles:</t>
  </si>
  <si>
    <t>Date:</t>
  </si>
  <si>
    <t>Implementation Activities (Estimated Once-Off)</t>
  </si>
  <si>
    <t>Senior?</t>
  </si>
  <si>
    <t>Discount %</t>
  </si>
  <si>
    <t>Project Management</t>
  </si>
  <si>
    <t>Design and Integration</t>
  </si>
  <si>
    <t>MasterData and Database setup</t>
  </si>
  <si>
    <t>Reporting setup</t>
  </si>
  <si>
    <t>Testing</t>
  </si>
  <si>
    <t>User Acceptance Testing</t>
  </si>
  <si>
    <t>Training — Tracking</t>
  </si>
  <si>
    <t>Training — Fuel</t>
  </si>
  <si>
    <t>Training — Route Builder</t>
  </si>
  <si>
    <t>Training — Digital Journey</t>
  </si>
  <si>
    <t>Training — Stock Master</t>
  </si>
  <si>
    <t>Go Live and Hypercare</t>
  </si>
  <si>
    <t>Default 100% discount (value-add)</t>
  </si>
  <si>
    <t>TOTAL ONE-TIME IMPLEMENTATION:</t>
  </si>
  <si>
    <t>Total billable hours (effective):</t>
  </si>
  <si>
    <t>Senior hours / Consultant hours:</t>
  </si>
  <si>
    <t>TOTAL ONE-TIME IMPLEMENTATION COST</t>
  </si>
  <si>
    <t>Sum of all itemised activities above (training rows included only where the product is selected on Calculator)</t>
  </si>
  <si>
    <t>How to use this sheet:</t>
  </si>
  <si>
    <t>1. YELLOW cells are editable per project: Hours (B), Senior? checkbox (C), Discount % (E), and Notes (G).</t>
  </si>
  <si>
    <t>2. The Rate column (D) auto-flips: ☑ Senior? = Senior Consultant rate (Config!B30); ☐ = Consultant rate (Config!B29).</t>
  </si>
  <si>
    <t>3. Training rows only contribute to the total when the matching product is selected on the Calculator.</t>
  </si>
  <si>
    <t>4. Go Live and Hypercare defaults to 100% discount (free); change E21 to charge it.</t>
  </si>
  <si>
    <t>5. The Customer Quote shows only non-zero lines (no Senior/Consultant column — customer sees the effective rate per line).</t>
  </si>
  <si>
    <t>Hardware Costing</t>
  </si>
  <si>
    <t>One-time hardware + installation charges.  Installation auto-computes from Hardware selections.</t>
  </si>
  <si>
    <t>Fleet Composition</t>
  </si>
  <si>
    <t>Total vehicles (from Calculator):</t>
  </si>
  <si>
    <t>← linked from Calculator!B6</t>
  </si>
  <si>
    <t>Fuel-monitored — single-tank:</t>
  </si>
  <si>
    <t>← YELLOW. Single-tank vehicles getting a Fuel Probe Kit (GPS + 1 probe).</t>
  </si>
  <si>
    <t>Fuel-monitored — dual-tank:</t>
  </si>
  <si>
    <t>← YELLOW. Dual-tank vehicles getting a Fuel Probe Kit (GPS + 2 probes).  (Tracking-only vehicles = Total − these two.)</t>
  </si>
  <si>
    <t>International Shipping &amp; Customs</t>
  </si>
  <si>
    <t>Outside South Africa?  (adds 20% surcharge to hardware items):</t>
  </si>
  <si>
    <t>(rate from Config!B50)</t>
  </si>
  <si>
    <t>Hardware Items</t>
  </si>
  <si>
    <t>SKU</t>
  </si>
  <si>
    <t>Pairs with</t>
  </si>
  <si>
    <t>Sell Price (R)</t>
  </si>
  <si>
    <t>Subtotal (R)</t>
  </si>
  <si>
    <t>Blackview Fort 1</t>
  </si>
  <si>
    <t>Choose model for DJ drivers via dropdown</t>
  </si>
  <si>
    <t>Independent model for Stock Master users (often different qty)</t>
  </si>
  <si>
    <t>Urovo Printer K419 (incl. case + car charger)</t>
  </si>
  <si>
    <t>Default 1 per vehicle; rep can override</t>
  </si>
  <si>
    <t>Teltonika FMB125</t>
  </si>
  <si>
    <t>Tracking-only</t>
  </si>
  <si>
    <t>Tracking-only vehicles (auto = Total − fuel vehicles). Fuel vehicles get the Kit below.</t>
  </si>
  <si>
    <t>Queclink GV620MG</t>
  </si>
  <si>
    <t>Tracking (trailers)</t>
  </si>
  <si>
    <t>Enter # of trailers in Qty column (YELLOW)</t>
  </si>
  <si>
    <t>Fuel Probe Kit — Single-Tank (GPS + 1 probe)</t>
  </si>
  <si>
    <t>Incl. Teltonika GPS + 1 Omnicomm probe.  Qty = single-tank fuel count (set in Fleet Composition, B6).</t>
  </si>
  <si>
    <t>Fuel Probe Kit — Dual-Tank (GPS + 2 probes)</t>
  </si>
  <si>
    <t>Incl. Teltonika GPS + 2 Omnicomm probes.  Qty = dual-tank fuel count (set in Fleet Composition, B7).</t>
  </si>
  <si>
    <t>Hardware subtotal:</t>
  </si>
  <si>
    <t>International shipping &amp; customs surcharge:</t>
  </si>
  <si>
    <t>Hardware total (incl. shipping if any):</t>
  </si>
  <si>
    <t>Installation Charges (auto-computed from Hardware selections + Fleet Composition)</t>
  </si>
  <si>
    <t>Scenario</t>
  </si>
  <si>
    <t>Rate (R)</t>
  </si>
  <si>
    <t>GPS Tracking installation</t>
  </si>
  <si>
    <t>Tracking-only vehicles (R800 each)</t>
  </si>
  <si>
    <t>Fuel Probe Kit installation — single-tank</t>
  </si>
  <si>
    <t>GPS + 1 probe, one combined visit</t>
  </si>
  <si>
    <t>Fuel Probe Kit installation — dual-tank</t>
  </si>
  <si>
    <t>GPS + 2 probes, one combined visit</t>
  </si>
  <si>
    <t>Trailer GPS installation</t>
  </si>
  <si>
    <t>R800 per trailer</t>
  </si>
  <si>
    <t>Installation subtotal:</t>
  </si>
  <si>
    <t>GRAND TOTAL — Hardware + Installation:</t>
  </si>
  <si>
    <t>TOTAL HARDWARE + INSTALLATION COST</t>
  </si>
  <si>
    <t>Sum of selected hardware items (including any international shipping) + auto-computed installation charges</t>
  </si>
  <si>
    <t>1. Fleet Composition: enter single-tank fuel vehicles (B6) and dual-tank fuel vehicles (B7).</t>
  </si>
  <si>
    <t xml:space="preserve">   Tracking-only vehicles = Total − these two, and auto-fill the Vehicle GPS quantity.</t>
  </si>
  <si>
    <t>2. Tick "Outside South Africa?" (F10) for international shipping (20% on hardware items only).</t>
  </si>
  <si>
    <t>3. Pick the handset model for Digital Journey (A14) and Stock Master (A15) from their dropdowns — independent choices.</t>
  </si>
  <si>
    <t>4. Tick Include? on each hardware item. Fuel vehicles use the Fuel Probe Kit (GPS + probe(s) bundled);</t>
  </si>
  <si>
    <t xml:space="preserve">   tracking-only vehicles use the standalone Vehicle GPS. Each Kit carries its combined install rate.</t>
  </si>
  <si>
    <t>5. Installation (rows 28-31) follows each ticked item automatically — Kit single = R1,600, Kit dual = R2,200.</t>
  </si>
  <si>
    <t>6. Trailer GPS qty (D18) is a YELLOW input — enter the number of trailers separately.</t>
  </si>
  <si>
    <t>7. Kit sell price = GPS sell + probe sell(s); all component prices, install rates &amp; shipping % live on Config.</t>
  </si>
  <si>
    <t>Rental Pricing — All-Inclusive Monthly</t>
  </si>
  <si>
    <t>Bakes SaaS subscription + hardware + installation into one monthly fee.  Configure the deal on Calculator + Hardware first.</t>
  </si>
  <si>
    <t>Rental Configuration</t>
  </si>
  <si>
    <t>Rental term (months):</t>
  </si>
  <si>
    <t>← choose 12, 24 or 36 (shorter term = higher monthly)</t>
  </si>
  <si>
    <t>Rental mode:</t>
  </si>
  <si>
    <t>Pure Rental</t>
  </si>
  <si>
    <t>← Pure Rental (you retain ownership) or Rent-to-Own (customer owns at end)</t>
  </si>
  <si>
    <t>Rental annual rate (from Config):</t>
  </si>
  <si>
    <t>FINANCING only = cost of capital (Config!B53) + financing margin (Config!B54). Hardware markup is already in the sell price.</t>
  </si>
  <si>
    <t>Monthly factor per R1 of capital (auto):</t>
  </si>
  <si>
    <t>PMT annuity factor for the chosen rate &amp; term</t>
  </si>
  <si>
    <t>Deal (linked from Calculator + Hardware)</t>
  </si>
  <si>
    <t>Monthly SaaS subscription (total):</t>
  </si>
  <si>
    <t>Hardware total (incl. shipping):</t>
  </si>
  <si>
    <t>Installation total:</t>
  </si>
  <si>
    <t>Capital to finance (hardware + install):</t>
  </si>
  <si>
    <t>Rental Bundle — First Term</t>
  </si>
  <si>
    <t>Monthly SaaS (recurring software):</t>
  </si>
  <si>
    <t>Monthly hardware + install rental (amortised):</t>
  </si>
  <si>
    <t>PMT(rate÷12, term, capital) — recovers hardware+install + financing over the term</t>
  </si>
  <si>
    <t>TOTAL monthly rental bundle:</t>
  </si>
  <si>
    <t>Per vehicle / month:</t>
  </si>
  <si>
    <t>Total payable over the full term:</t>
  </si>
  <si>
    <t>Purchase-model comparison (upfront + monthly SaaS):</t>
  </si>
  <si>
    <t>one-time (hardware+install+implementation) the customer avoids by renting</t>
  </si>
  <si>
    <t>End-of-Term Renewal Options</t>
  </si>
  <si>
    <t>Refresh — new hardware, fresh term (per vehicle/mo):</t>
  </si>
  <si>
    <t>same full rate; resets the hardware-recovery cycle with current kit</t>
  </si>
  <si>
    <t>Retain existing hardware (per vehicle/mo):</t>
  </si>
  <si>
    <t>hardware already paid off → software + light support only (your highest-margin revenue)</t>
  </si>
  <si>
    <t>Saving vs first term (retain route):</t>
  </si>
  <si>
    <t>RENTAL BUNDLE — PER VEHICLE / MONTH (ALL-INCLUSIVE)</t>
  </si>
  <si>
    <t>1. Configure the deal first on Calculator (products + vehicles) and Hardware (devices + fleet composition).</t>
  </si>
  <si>
    <t>2. Choose the rental term (B5: 12/24/36) and mode (B6: Pure Rental / Rent-to-Own).</t>
  </si>
  <si>
    <t>3. The monthly bundle = SaaS + amortised hardware &amp; install (PMT at the Config rental rate over the term).</t>
  </si>
  <si>
    <t>4. The gold panel shows the all-inclusive per-vehicle/month price — your headline rental number.</t>
  </si>
  <si>
    <t>5. The renewal block shows the lifecycle: refresh (new term) vs retain existing kit (software + light support).</t>
  </si>
  <si>
    <t>6. Tune the rental rate (Config!B53) and renewal support fee (Config!B54) to your financing cost &amp; margin.</t>
  </si>
  <si>
    <t>Internal Margin Analysis  —  NOT FOR CLIENT</t>
  </si>
  <si>
    <t>Per-Product Margin Breakdown</t>
  </si>
  <si>
    <t>Selected</t>
  </si>
  <si>
    <t>Marginal Cost (R/lic/mo)</t>
  </si>
  <si>
    <t>Monthly Cost (R)</t>
  </si>
  <si>
    <t>Contribution (R)</t>
  </si>
  <si>
    <t>Gross Margin %</t>
  </si>
  <si>
    <t>Step-Cost Warning</t>
  </si>
  <si>
    <t>TOTAL</t>
  </si>
  <si>
    <t>Discount Walk-Down</t>
  </si>
  <si>
    <t>Gross list value (no discounts):</t>
  </si>
  <si>
    <t xml:space="preserve">  Less: Bundle discount</t>
  </si>
  <si>
    <t xml:space="preserve">  Less: Volume discount</t>
  </si>
  <si>
    <t>Net subscription revenue (monthly):</t>
  </si>
  <si>
    <t>Effective discount vs list:</t>
  </si>
  <si>
    <t>Margin Floor Check (minimum acceptable price per vehicle)</t>
  </si>
  <si>
    <t>Floor = Marginal × 2 (i.e. minimum 50% GM).  If Effective Price falls below floor, you are eroding margin.</t>
  </si>
  <si>
    <t>Marginal (R)</t>
  </si>
  <si>
    <t>Floor @ 50% GM (R)</t>
  </si>
  <si>
    <t>Floor @ 60% GM (R)</t>
  </si>
  <si>
    <t>Current Effective Price (R)</t>
  </si>
  <si>
    <t>Status</t>
  </si>
  <si>
    <t>Pricing Configuration</t>
  </si>
  <si>
    <t>Product Pricing</t>
  </si>
  <si>
    <t>Marginal Cost (R/license/mo)</t>
  </si>
  <si>
    <t>Target Gross Margin</t>
  </si>
  <si>
    <t>List Price (R/license/mo)</t>
  </si>
  <si>
    <t>Step Threshold (licenses)</t>
  </si>
  <si>
    <t>Step Cost (R/mo)</t>
  </si>
  <si>
    <t>Bundle Discount Schedule</t>
  </si>
  <si>
    <t># Products in Bundle</t>
  </si>
  <si>
    <t>Multiplier</t>
  </si>
  <si>
    <t>Volume Discount Schedule (Cliff Tiers)</t>
  </si>
  <si>
    <t>Min Vehicles</t>
  </si>
  <si>
    <t>Max Vehicles</t>
  </si>
  <si>
    <t>Tier Name</t>
  </si>
  <si>
    <t>SMB</t>
  </si>
  <si>
    <t>Mid-market</t>
  </si>
  <si>
    <t>Upper mid</t>
  </si>
  <si>
    <t>Large</t>
  </si>
  <si>
    <t>Enterprise</t>
  </si>
  <si>
    <t>Implementation Hourly Rates</t>
  </si>
  <si>
    <t>Consultant rate (R / hour):</t>
  </si>
  <si>
    <t>standard delivery resource (junior)</t>
  </si>
  <si>
    <t>Senior Consultant rate (R / hour):</t>
  </si>
  <si>
    <t>architects, PMs, complex go-lives (senior)</t>
  </si>
  <si>
    <t>Hardware Cost Configuration</t>
  </si>
  <si>
    <t>Cost (R)</t>
  </si>
  <si>
    <t>Markup %</t>
  </si>
  <si>
    <t>Handset option 1</t>
  </si>
  <si>
    <t>Blackview BV6200</t>
  </si>
  <si>
    <t>Handset option 2</t>
  </si>
  <si>
    <t>Oukitel G1S</t>
  </si>
  <si>
    <t>Handset option 3</t>
  </si>
  <si>
    <t>Mobile thermal printer (DJ)</t>
  </si>
  <si>
    <t>Vehicle GPS — 1 per vehicle</t>
  </si>
  <si>
    <t>Trailer GPS — 1 per trailer</t>
  </si>
  <si>
    <t>Omnicomm LS4</t>
  </si>
  <si>
    <t>Fuel probe — 1 per tank</t>
  </si>
  <si>
    <t>Installation Charges</t>
  </si>
  <si>
    <t>GPS Tracking Unit alone</t>
  </si>
  <si>
    <t>Fuel Probe alone (single probe, no GPS)</t>
  </si>
  <si>
    <t>Combined GPS + Fuel install (single-tank)</t>
  </si>
  <si>
    <t>Combined GPS + Fuel install (dual-tank)</t>
  </si>
  <si>
    <t>Surcharge % (on hardware items only):</t>
  </si>
  <si>
    <t>applied on Hardware sheet when "Outside South Africa?" is ticked</t>
  </si>
  <si>
    <t>Cost of capital (annual %):</t>
  </si>
  <si>
    <t>your cost to FUND the hardware (≈ SA prime 10.25% + your borrowing spread, or your opportunity cost)</t>
  </si>
  <si>
    <t>Financing margin (annual %):</t>
  </si>
  <si>
    <t>your PROFIT for providing the rental + credit/churn risk premium (set to 0% to profit on hardware only)</t>
  </si>
  <si>
    <t>Rental annual rate (auto = cost of capital + margin):</t>
  </si>
  <si>
    <t>NB: this is FINANCING only — hardware product markup is already in the sell price being amortised</t>
  </si>
  <si>
    <t>Renewal support fee (% of hardware value / month):</t>
  </si>
  <si>
    <t>light fee on a renewal that retains aging hardware (covers maintenance/replacement)</t>
  </si>
  <si>
    <t>Configuration Notes</t>
  </si>
  <si>
    <t>BLUE/YELLOW cells = editable inputs.  BLACK cells = formulas (do not edit).</t>
  </si>
  <si>
    <t>List Price formula: Marginal Cost ÷ (1 − Target Gross Margin).  Adjust column C to retarget.</t>
  </si>
  <si>
    <t>"Route Builder" is the merged Route Builder + Execution Manager.  EM piggybacks on the same</t>
  </si>
  <si>
    <t xml:space="preserve">   infrastructure as RB (no duplicated cost), so the merged marginal cost stays at R50/license</t>
  </si>
  <si>
    <t xml:space="preserve">   and step cost stays at R25,000 per 500 licenses (NOT R37,500 as it would be if EM were independent).</t>
  </si>
  <si>
    <t>FUEL INCLUDES TRACKING.  Never sell both together.  Fuel's MARGINAL COST equals Tracking's (R83)</t>
  </si>
  <si>
    <t xml:space="preserve">   because the Fuel module shares the same per-vehicle tracking infrastructure — adding Fuel does</t>
  </si>
  <si>
    <t xml:space="preserve">   not duplicate the cost.  Fuel's higher PRICE comes from value-based pricing (85% target GM),</t>
  </si>
  <si>
    <t xml:space="preserve">   not cost recovery.  The Calculator sheet shows a red warning if both are selected together.</t>
  </si>
  <si>
    <t>Tracking uses 70% target GM (entry pricing).  Fuel uses 85% (value premium).  Others 75%.</t>
  </si>
  <si>
    <t>Step costs are advisory (per-deal simplified model): each "step" represents the cost increase when</t>
  </si>
  <si>
    <t>this many new licenses are sold to this deal alone.  Total fleet step accounting is not modelled here.</t>
  </si>
  <si>
    <t>Volume tier match uses Min Vehicles column (Excel VLOOKUP approximate match).</t>
  </si>
  <si>
    <t>Implementation rates (B29 Consultant / B30 Senior Consultant) drive every Hours × Rate on Implementation.</t>
  </si>
  <si>
    <t>Each Implementation line picks one rate via its "Senior?" checkbox: checked=Senior, unchecked=Consultant.</t>
  </si>
  <si>
    <t>Hardware sell prices (D34:D40) = Cost × (1 + Markup%).  Tune Cost (B) or Markup (C) per SKU.</t>
  </si>
  <si>
    <t>Installation rates (B44:B47) are advisory — the Hardware sheet picks the correct rate per scenario automatically.</t>
  </si>
  <si>
    <t>International shipping rate (B50) applies to hardware items only, not to installation labour.</t>
  </si>
  <si>
    <t>Rental: monthly = SaaS + PMT(rate÷12, term, hardware+install).  Term (12/24/36) &amp; mode set on the Rental sheet.</t>
  </si>
  <si>
    <t>Rental rate (B55) is FINANCING ONLY (cost of capital B53 + financing margin B54).  Hardware product markup</t>
  </si>
  <si>
    <t xml:space="preserve">   is already in the sell price being amortised — do NOT add hardware markup into the rental rate.</t>
  </si>
  <si>
    <t>Scenario Comparison Tool</t>
  </si>
  <si>
    <t>Compare three deal configurations side-by-side.  Use this to show clients the value of bundling/scaling.</t>
  </si>
  <si>
    <t>Scenario A</t>
  </si>
  <si>
    <t>Scenario B</t>
  </si>
  <si>
    <t>Scenario C</t>
  </si>
  <si>
    <t>Scenario name</t>
  </si>
  <si>
    <t>Tracking-only Entry</t>
  </si>
  <si>
    <t>Fuel + Route Builder + DJ</t>
  </si>
  <si>
    <t>Full Suite Enterprise (4-prod)</t>
  </si>
  <si>
    <t>Number of Vehicles</t>
  </si>
  <si>
    <t>PRODUCTS INCLUDED</t>
  </si>
  <si>
    <t>CALCULATED OUTPUTS</t>
  </si>
  <si>
    <t>Products in bundle</t>
  </si>
  <si>
    <t>Bundle multiplier</t>
  </si>
  <si>
    <t>Volume multiplier</t>
  </si>
  <si>
    <t>Volume tier</t>
  </si>
  <si>
    <t>Effective discount on list</t>
  </si>
  <si>
    <t>Monthly subscription revenue</t>
  </si>
  <si>
    <t>Annual subscription revenue</t>
  </si>
  <si>
    <t>Monthly marginal cost</t>
  </si>
  <si>
    <t>Monthly contribution</t>
  </si>
  <si>
    <t>Effective gross margin</t>
  </si>
  <si>
    <t>Blended price per vehicle/mo</t>
  </si>
  <si>
    <t>Tip: change YELLOW cells (scenario name, vehicles, product Yes/No) to compare different deal shapes.</t>
  </si>
  <si>
    <t>Monthly Cost(R)</t>
  </si>
  <si>
    <t>Annual Cost(R)</t>
  </si>
  <si>
    <t>Fuel plus tracking</t>
  </si>
  <si>
    <t>Zambia Sugar</t>
  </si>
  <si>
    <t>Fleetview</t>
  </si>
  <si>
    <t>Streamax 3 camera</t>
  </si>
  <si>
    <t xml:space="preserve">Steamax 3 camera plus </t>
  </si>
  <si>
    <t>Fleetview intall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</si>
</sst>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numFmts count="13">
    <numFmt numFmtId="164" formatCode="&quot;R&quot;#,##0;[Red]\(&quot;R&quot;#,##0\);&quot;-&quot;"/>
    <numFmt numFmtId="165" formatCode="0.0%;[Red]\(0.0%\);&quot;-&quot;"/>
    <numFmt numFmtId="166" formatCode="#,##0;[Red]\(#,##0\);&quot;-&quot;"/>
    <numFmt numFmtId="167" formatCode="0.000"/>
    <numFmt numFmtId="168" formatCode="&quot;R&quot;#,##0.00"/>
    <numFmt numFmtId="169" formatCode="dd\-mmm\-yyyy"/>
    <numFmt numFmtId="170" formatCode="&quot;R&quot;#,##0.00;[Red]\(&quot;R&quot;#,##0.00\);&quot;-&quot;"/>
    <numFmt numFmtId="171" formatCode="0.0"/>
    <numFmt numFmtId="172" formatCode="0.0&quot; hrs&quot;"/>
    <numFmt numFmtId="173" formatCode="0.0000"/>
    <numFmt numFmtId="174" formatCode=";;;"/>
    <numFmt numFmtId="175" formatCode="&quot;R&quot;#,##0.00;[Red]&quot;R&quot;#,##0.00"/>
    <numFmt numFmtId="176" formatCode="_-[$$-409]* #,##0.00_ ;_-[$$-409]* \-#,##0.00\ ;_-[$$-409]* &quot;-&quot;??_ ;_-@_ "/>
  </numFmts>
  <fonts count="45" x14ac:knownFonts="1">
    <font>
      <sz val="11"/>
      <color theme="1"/>
      <name val="Calibri"/>
      <family val="2"/>
      <scheme val="minor"/>
    </font>
    <font>
      <b/>
      <sz val="18"/>
      <color rgb="FF000000"/>
      <name val="Arial"/>
    </font>
    <font>
      <b/>
      <sz val="14"/>
      <color rgb="FF000000"/>
      <name val="Arial"/>
    </font>
    <font>
      <b/>
      <sz val="11"/>
      <color rgb="FFFFFFFF"/>
      <name val="Arial"/>
    </font>
    <font>
      <b/>
      <sz val="11"/>
      <color rgb="FF000000"/>
      <name val="Arial"/>
    </font>
    <font>
      <b/>
      <sz val="11"/>
      <color rgb="FF0000FF"/>
      <name val="Arial"/>
    </font>
    <font>
      <sz val="11"/>
      <color rgb="FF000000"/>
      <name val="Arial"/>
    </font>
    <font>
      <i/>
      <sz val="10"/>
      <color rgb="FF595959"/>
      <name val="Arial"/>
    </font>
    <font>
      <b/>
      <sz val="12"/>
      <color rgb="FF000000"/>
      <name val="Arial"/>
    </font>
    <font>
      <b/>
      <sz val="20"/>
      <color rgb="FF1F4E78"/>
      <name val="Arial"/>
    </font>
    <font>
      <b/>
      <sz val="18"/>
      <color rgb="FF0000FF"/>
      <name val="Arial"/>
    </font>
    <font>
      <sz val="11"/>
      <color rgb="FF008000"/>
      <name val="Arial"/>
    </font>
    <font>
      <b/>
      <sz val="11"/>
      <color rgb="FF008000"/>
      <name val="Arial"/>
    </font>
    <font>
      <b/>
      <sz val="13"/>
      <color rgb="FF000000"/>
      <name val="Arial"/>
    </font>
    <font>
      <i/>
      <sz val="11"/>
      <color rgb="FF000000"/>
      <name val="Arial"/>
    </font>
    <font>
      <b/>
      <sz val="13"/>
      <color rgb="FFFFFFFF"/>
      <name val="Arial"/>
    </font>
    <font>
      <b/>
      <sz val="44"/>
      <color rgb="FF1F4E78"/>
      <name val="Arial"/>
    </font>
    <font>
      <i/>
      <sz val="10"/>
      <color rgb="FFFFFFFF"/>
      <name val="Arial"/>
    </font>
    <font>
      <i/>
      <sz val="11"/>
      <color rgb="FF808080"/>
      <name val="Arial"/>
    </font>
    <font>
      <b/>
      <sz val="22"/>
      <color rgb="FFFFFFFF"/>
      <name val="Arial"/>
    </font>
    <font>
      <i/>
      <sz val="13"/>
      <color rgb="FF1F4E78"/>
      <name val="Arial"/>
    </font>
    <font>
      <b/>
      <sz val="11"/>
      <color rgb="FF595959"/>
      <name val="Arial"/>
    </font>
    <font>
      <b/>
      <sz val="13"/>
      <color rgb="FF008000"/>
      <name val="Arial"/>
    </font>
    <font>
      <b/>
      <sz val="14"/>
      <color rgb="FF1F4E78"/>
      <name val="Arial"/>
    </font>
    <font>
      <b/>
      <sz val="11"/>
      <color rgb="FF1F4E78"/>
      <name val="Arial"/>
    </font>
    <font>
      <b/>
      <sz val="13"/>
      <color rgb="FF1F4E78"/>
      <name val="Arial"/>
    </font>
    <font>
      <sz val="11"/>
      <color rgb="FF595959"/>
      <name val="Arial"/>
    </font>
    <font>
      <b/>
      <sz val="11"/>
      <color rgb="FFC9A227"/>
      <name val="Arial"/>
    </font>
    <font>
      <i/>
      <sz val="11"/>
      <color rgb="FF008000"/>
      <name val="Arial"/>
    </font>
    <font>
      <b/>
      <sz val="14"/>
      <color rgb="FFC9A227"/>
      <name val="Arial"/>
    </font>
    <font>
      <i/>
      <sz val="11"/>
      <color rgb="FF595959"/>
      <name val="Arial"/>
    </font>
    <font>
      <b/>
      <sz val="12"/>
      <color rgb="FF1F4E78"/>
      <name val="Arial"/>
    </font>
    <font>
      <sz val="10"/>
      <color rgb="FF595959"/>
      <name val="Arial"/>
    </font>
    <font>
      <i/>
      <sz val="11"/>
      <color rgb="FFC9A227"/>
      <name val="Arial"/>
    </font>
    <font>
      <b/>
      <sz val="18"/>
      <color rgb="FFC00000"/>
      <name val="Arial"/>
    </font>
    <font>
      <b/>
      <sz val="14"/>
      <color rgb="FF008000"/>
      <name val="Arial"/>
    </font>
    <font>
      <sz val="10"/>
      <color rgb="FF000000"/>
      <name val="Arial"/>
    </font>
    <font>
      <sz val="11"/>
      <color rgb="FFC00000"/>
      <name val="Arial"/>
    </font>
    <font>
      <b/>
      <i/>
      <sz val="11"/>
      <color rgb="FF000000"/>
      <name val="Arial"/>
    </font>
    <font>
      <b/>
      <sz val="18"/>
      <color rgb="FF1F4E78"/>
      <name val="Arial"/>
    </font>
    <font>
      <b/>
      <sz val="16"/>
      <color rgb="FF0000FF"/>
      <name val="Arial"/>
    </font>
    <font>
      <b/>
      <sz val="11"/>
      <color rgb="FFC00000"/>
      <name val="Arial"/>
    </font>
    <font>
      <i/>
      <sz val="11"/>
      <color rgb="FFC00000"/>
      <name val="Arial"/>
    </font>
    <font>
      <i/>
      <sz val="10"/>
      <color rgb="FF1F4E78"/>
      <name val="Arial"/>
    </font>
    <font>
      <b/>
      <sz val="11"/>
      <color rgb="FFFF0000"/>
      <name val="Arial"/>
      <family val="2"/>
    </font>
  </fonts>
  <fills count="7">
    <fill>
      <patternFill patternType="none"/>
    </fill>
    <fill>
      <patternFill patternType="gray125"/>
    </fill>
    <fill>
      <patternFill patternType="solid">
        <fgColor rgb="FFD9E1F2"/>
        <bgColor rgb="FFD9E1F2"/>
      </patternFill>
    </fill>
    <fill>
      <patternFill patternType="solid">
        <fgColor rgb="FF1F4E78"/>
        <bgColor rgb="FF1F4E78"/>
      </patternFill>
    </fill>
    <fill>
      <patternFill patternType="solid">
        <fgColor rgb="FFFFF2CC"/>
        <bgColor rgb="FFFFF2CC"/>
      </patternFill>
    </fill>
    <fill>
      <patternFill patternType="solid">
        <fgColor rgb="FFF2F2F2"/>
        <bgColor rgb="FFF2F2F2"/>
      </patternFill>
    </fill>
    <fill>
      <patternFill patternType="solid">
        <fgColor rgb="FFC9A227"/>
        <bgColor rgb="FFC9A227"/>
      </patternFill>
    </fill>
  </fills>
  <borders count="8">
    <border>
      <left/>
      <right/>
      <top/>
      <bottom/>
      <diagonal/>
    </border>
    <border>
      <left style="thin">
        <color rgb="FFBFBFBF"/>
      </left>
      <right style="thin">
        <color rgb="FFBFBFBF"/>
      </right>
      <top style="thin">
        <color rgb="FFBFBFBF"/>
      </top>
      <bottom style="thin">
        <color rgb="FFBFBFBF"/>
      </bottom>
      <diagonal/>
    </border>
    <border>
      <left/>
      <right/>
      <top style="thin">
        <color rgb="FFBFBFBF"/>
      </top>
      <bottom style="thin">
        <color rgb="FFBFBFBF"/>
      </bottom>
      <diagonal/>
    </border>
    <border>
      <left/>
      <right style="thin">
        <color rgb="FFBFBFBF"/>
      </right>
      <top style="thin">
        <color rgb="FFBFBFBF"/>
      </top>
      <bottom style="thin">
        <color rgb="FFBFBFBF"/>
      </bottom>
      <diagonal/>
    </border>
    <border>
      <left/>
      <right/>
      <top/>
      <bottom style="medium">
        <color rgb="FF1F4E78"/>
      </bottom>
      <diagonal/>
    </border>
    <border>
      <left/>
      <right/>
      <top/>
      <bottom style="thin">
        <color rgb="FFBFBFBF"/>
      </bottom>
      <diagonal/>
    </border>
    <border>
      <left/>
      <right/>
      <top style="medium">
        <color rgb="FF1F4E78"/>
      </top>
      <bottom style="medium">
        <color rgb="FF1F4E78"/>
      </bottom>
      <diagonal/>
    </border>
    <border>
      <left/>
      <right/>
      <top/>
      <bottom style="hair">
        <color rgb="FFD9D9D9"/>
      </bottom>
      <diagonal/>
    </border>
  </borders>
  <cellStyleXfs count="1">
    <xf numFmtId="0" fontId="0" fillId="0" borderId="0"/>
  </cellStyleXfs>
  <cellXfs count="146">
    <xf numFmtId="0" fontId="0" fillId="0" borderId="0" xfId="0"/>
    <xf numFmtId="0" fontId="4" fillId="0" borderId="0" xfId="0" applyFont="1"/>
    <xf numFmtId="169" fontId="6" fillId="0" borderId="1" xfId="0" applyNumberFormat="1" applyFont="1" applyBorder="1"/>
    <xf numFmtId="166" fontId="5" fillId="4" borderId="1" xfId="0" applyNumberFormat="1" applyFont="1" applyFill="1" applyBorder="1" applyAlignment="1">
      <alignment horizontal="center"/>
    </xf>
    <xf numFmtId="0" fontId="3" fillId="3" borderId="1" xfId="0" applyFont="1" applyFill="1" applyBorder="1" applyAlignment="1">
      <alignment horizontal="center" vertical="center" wrapText="1"/>
    </xf>
    <xf numFmtId="0" fontId="4" fillId="0" borderId="1" xfId="0" applyFont="1" applyBorder="1"/>
    <xf numFmtId="164" fontId="11" fillId="0" borderId="1" xfId="0" applyNumberFormat="1" applyFont="1" applyBorder="1"/>
    <xf numFmtId="164" fontId="6" fillId="0" borderId="1" xfId="0" applyNumberFormat="1" applyFont="1" applyBorder="1"/>
    <xf numFmtId="164" fontId="4" fillId="0" borderId="1" xfId="0" applyNumberFormat="1" applyFont="1" applyBorder="1"/>
    <xf numFmtId="166" fontId="4" fillId="0" borderId="1" xfId="0" applyNumberFormat="1" applyFont="1" applyBorder="1"/>
    <xf numFmtId="167" fontId="12" fillId="0" borderId="1" xfId="0" applyNumberFormat="1" applyFont="1" applyBorder="1"/>
    <xf numFmtId="165" fontId="11" fillId="0" borderId="1" xfId="0" applyNumberFormat="1" applyFont="1" applyBorder="1"/>
    <xf numFmtId="0" fontId="7" fillId="0" borderId="0" xfId="0" applyFont="1"/>
    <xf numFmtId="0" fontId="12" fillId="0" borderId="1" xfId="0" applyFont="1" applyBorder="1" applyAlignment="1">
      <alignment horizontal="center"/>
    </xf>
    <xf numFmtId="0" fontId="13" fillId="5" borderId="1" xfId="0" applyFont="1" applyFill="1" applyBorder="1"/>
    <xf numFmtId="0" fontId="0" fillId="5" borderId="1" xfId="0" applyFill="1" applyBorder="1"/>
    <xf numFmtId="164" fontId="2" fillId="5" borderId="1" xfId="0" applyNumberFormat="1" applyFont="1" applyFill="1" applyBorder="1"/>
    <xf numFmtId="0" fontId="14" fillId="5" borderId="1" xfId="0" applyFont="1" applyFill="1" applyBorder="1"/>
    <xf numFmtId="165" fontId="4" fillId="5" borderId="1" xfId="0" applyNumberFormat="1" applyFont="1" applyFill="1" applyBorder="1"/>
    <xf numFmtId="0" fontId="21" fillId="0" borderId="0" xfId="0" applyFont="1"/>
    <xf numFmtId="169" fontId="11" fillId="0" borderId="0" xfId="0" applyNumberFormat="1" applyFont="1"/>
    <xf numFmtId="0" fontId="12" fillId="0" borderId="0" xfId="0" applyFont="1"/>
    <xf numFmtId="0" fontId="24" fillId="0" borderId="5" xfId="0" applyFont="1" applyBorder="1" applyAlignment="1">
      <alignment horizontal="center"/>
    </xf>
    <xf numFmtId="166" fontId="11" fillId="0" borderId="0" xfId="0" applyNumberFormat="1" applyFont="1" applyAlignment="1">
      <alignment horizontal="center"/>
    </xf>
    <xf numFmtId="164" fontId="11" fillId="0" borderId="0" xfId="0" applyNumberFormat="1" applyFont="1"/>
    <xf numFmtId="164" fontId="2" fillId="2" borderId="6" xfId="0" applyNumberFormat="1" applyFont="1" applyFill="1" applyBorder="1"/>
    <xf numFmtId="165" fontId="12" fillId="0" borderId="0" xfId="0" applyNumberFormat="1" applyFont="1"/>
    <xf numFmtId="165" fontId="27" fillId="0" borderId="0" xfId="0" applyNumberFormat="1" applyFont="1"/>
    <xf numFmtId="0" fontId="11" fillId="0" borderId="7" xfId="0" applyFont="1" applyBorder="1"/>
    <xf numFmtId="171" fontId="11" fillId="0" borderId="0" xfId="0" applyNumberFormat="1" applyFont="1" applyAlignment="1">
      <alignment horizontal="center"/>
    </xf>
    <xf numFmtId="168" fontId="11" fillId="0" borderId="0" xfId="0" applyNumberFormat="1" applyFont="1" applyAlignment="1">
      <alignment horizontal="center"/>
    </xf>
    <xf numFmtId="165" fontId="11" fillId="0" borderId="0" xfId="0" applyNumberFormat="1" applyFont="1" applyAlignment="1">
      <alignment horizontal="center"/>
    </xf>
    <xf numFmtId="0" fontId="28" fillId="0" borderId="7" xfId="0" applyFont="1" applyBorder="1"/>
    <xf numFmtId="164" fontId="28" fillId="0" borderId="0" xfId="0" applyNumberFormat="1" applyFont="1"/>
    <xf numFmtId="164" fontId="29" fillId="3" borderId="0" xfId="0" applyNumberFormat="1" applyFont="1" applyFill="1"/>
    <xf numFmtId="164" fontId="26" fillId="0" borderId="0" xfId="0" applyNumberFormat="1" applyFont="1"/>
    <xf numFmtId="0" fontId="31" fillId="0" borderId="0" xfId="0" applyFont="1"/>
    <xf numFmtId="166" fontId="12" fillId="0" borderId="0" xfId="0" applyNumberFormat="1" applyFont="1"/>
    <xf numFmtId="171" fontId="5" fillId="4" borderId="1" xfId="0" applyNumberFormat="1" applyFont="1" applyFill="1" applyBorder="1" applyAlignment="1">
      <alignment horizontal="center"/>
    </xf>
    <xf numFmtId="168" fontId="11" fillId="0" borderId="1" xfId="0" applyNumberFormat="1" applyFont="1" applyBorder="1"/>
    <xf numFmtId="165" fontId="5" fillId="4" borderId="1" xfId="0" applyNumberFormat="1" applyFont="1" applyFill="1" applyBorder="1" applyAlignment="1">
      <alignment horizontal="center"/>
    </xf>
    <xf numFmtId="0" fontId="7" fillId="0" borderId="1" xfId="0" applyFont="1" applyBorder="1"/>
    <xf numFmtId="0" fontId="14" fillId="0" borderId="1" xfId="0" applyFont="1" applyBorder="1"/>
    <xf numFmtId="172" fontId="4" fillId="0" borderId="1" xfId="0" applyNumberFormat="1" applyFont="1" applyBorder="1"/>
    <xf numFmtId="0" fontId="30" fillId="0" borderId="1" xfId="0" applyFont="1" applyBorder="1"/>
    <xf numFmtId="0" fontId="7" fillId="0" borderId="1" xfId="0" applyFont="1" applyBorder="1" applyAlignment="1">
      <alignment horizontal="right"/>
    </xf>
    <xf numFmtId="166" fontId="12" fillId="0" borderId="1" xfId="0" applyNumberFormat="1" applyFont="1" applyBorder="1"/>
    <xf numFmtId="0" fontId="5" fillId="4" borderId="1" xfId="0" applyFont="1" applyFill="1" applyBorder="1" applyAlignment="1">
      <alignment horizontal="left" vertical="center"/>
    </xf>
    <xf numFmtId="166" fontId="6" fillId="0" borderId="1" xfId="0" applyNumberFormat="1" applyFont="1" applyBorder="1" applyAlignment="1">
      <alignment horizontal="center"/>
    </xf>
    <xf numFmtId="168" fontId="12" fillId="0" borderId="1" xfId="0" applyNumberFormat="1" applyFont="1" applyBorder="1"/>
    <xf numFmtId="0" fontId="8" fillId="5" borderId="1" xfId="0" applyFont="1" applyFill="1" applyBorder="1"/>
    <xf numFmtId="164" fontId="8" fillId="5" borderId="1" xfId="0" applyNumberFormat="1" applyFont="1" applyFill="1" applyBorder="1"/>
    <xf numFmtId="164" fontId="42" fillId="0" borderId="1" xfId="0" applyNumberFormat="1" applyFont="1" applyBorder="1"/>
    <xf numFmtId="0" fontId="0" fillId="0" borderId="1" xfId="0" applyBorder="1"/>
    <xf numFmtId="0" fontId="0" fillId="2" borderId="1" xfId="0" applyFill="1" applyBorder="1"/>
    <xf numFmtId="164" fontId="13" fillId="2" borderId="1" xfId="0" applyNumberFormat="1" applyFont="1" applyFill="1" applyBorder="1"/>
    <xf numFmtId="0" fontId="6" fillId="0" borderId="1" xfId="0" applyFont="1" applyBorder="1"/>
    <xf numFmtId="0" fontId="25" fillId="2" borderId="1" xfId="0" applyFont="1" applyFill="1" applyBorder="1"/>
    <xf numFmtId="164" fontId="2" fillId="2" borderId="1" xfId="0" applyNumberFormat="1" applyFont="1" applyFill="1" applyBorder="1"/>
    <xf numFmtId="0" fontId="5" fillId="4" borderId="1" xfId="0" applyFont="1" applyFill="1" applyBorder="1" applyAlignment="1">
      <alignment horizontal="center"/>
    </xf>
    <xf numFmtId="173" fontId="6" fillId="0" borderId="1" xfId="0" applyNumberFormat="1" applyFont="1" applyBorder="1"/>
    <xf numFmtId="164" fontId="12" fillId="0" borderId="1" xfId="0" applyNumberFormat="1" applyFont="1" applyBorder="1"/>
    <xf numFmtId="164" fontId="30" fillId="0" borderId="1" xfId="0" applyNumberFormat="1" applyFont="1" applyBorder="1"/>
    <xf numFmtId="165" fontId="12" fillId="0" borderId="1" xfId="0" applyNumberFormat="1" applyFont="1" applyBorder="1"/>
    <xf numFmtId="0" fontId="35" fillId="0" borderId="1" xfId="0" applyFont="1" applyBorder="1" applyAlignment="1">
      <alignment horizontal="center"/>
    </xf>
    <xf numFmtId="165" fontId="4" fillId="0" borderId="1" xfId="0" applyNumberFormat="1" applyFont="1" applyBorder="1"/>
    <xf numFmtId="0" fontId="36" fillId="0" borderId="1" xfId="0" applyFont="1" applyBorder="1" applyAlignment="1">
      <alignment horizontal="left" wrapText="1"/>
    </xf>
    <xf numFmtId="165" fontId="8" fillId="5" borderId="1" xfId="0" applyNumberFormat="1" applyFont="1" applyFill="1" applyBorder="1"/>
    <xf numFmtId="0" fontId="6" fillId="0" borderId="0" xfId="0" applyFont="1"/>
    <xf numFmtId="165" fontId="11" fillId="0" borderId="0" xfId="0" applyNumberFormat="1" applyFont="1"/>
    <xf numFmtId="164" fontId="37" fillId="0" borderId="1" xfId="0" applyNumberFormat="1" applyFont="1" applyBorder="1"/>
    <xf numFmtId="0" fontId="8" fillId="5" borderId="0" xfId="0" applyFont="1" applyFill="1"/>
    <xf numFmtId="0" fontId="0" fillId="5" borderId="0" xfId="0" applyFill="1"/>
    <xf numFmtId="0" fontId="14" fillId="0" borderId="0" xfId="0" applyFont="1"/>
    <xf numFmtId="165" fontId="38" fillId="0" borderId="1" xfId="0" applyNumberFormat="1" applyFont="1" applyBorder="1"/>
    <xf numFmtId="0" fontId="4" fillId="0" borderId="1" xfId="0" applyFont="1" applyBorder="1" applyAlignment="1">
      <alignment horizontal="center"/>
    </xf>
    <xf numFmtId="164" fontId="5" fillId="4" borderId="1" xfId="0" applyNumberFormat="1" applyFont="1" applyFill="1" applyBorder="1" applyAlignment="1">
      <alignment horizontal="center"/>
    </xf>
    <xf numFmtId="164" fontId="4" fillId="5" borderId="1" xfId="0" applyNumberFormat="1" applyFont="1" applyFill="1" applyBorder="1"/>
    <xf numFmtId="167" fontId="6" fillId="0" borderId="1" xfId="0" applyNumberFormat="1" applyFont="1" applyBorder="1"/>
    <xf numFmtId="168" fontId="5" fillId="4" borderId="1" xfId="0" applyNumberFormat="1" applyFont="1" applyFill="1" applyBorder="1" applyAlignment="1">
      <alignment horizontal="center"/>
    </xf>
    <xf numFmtId="168" fontId="4" fillId="5" borderId="1" xfId="0" applyNumberFormat="1" applyFont="1" applyFill="1" applyBorder="1"/>
    <xf numFmtId="0" fontId="8" fillId="0" borderId="0" xfId="0" applyFont="1"/>
    <xf numFmtId="0" fontId="0" fillId="2" borderId="0" xfId="0" applyFill="1"/>
    <xf numFmtId="0" fontId="15" fillId="3" borderId="1" xfId="0" applyFont="1" applyFill="1" applyBorder="1" applyAlignment="1">
      <alignment horizontal="center"/>
    </xf>
    <xf numFmtId="0" fontId="4" fillId="2" borderId="1" xfId="0" applyFont="1" applyFill="1" applyBorder="1"/>
    <xf numFmtId="167" fontId="11" fillId="0" borderId="1" xfId="0" applyNumberFormat="1" applyFont="1" applyBorder="1" applyAlignment="1">
      <alignment horizontal="center"/>
    </xf>
    <xf numFmtId="0" fontId="11" fillId="0" borderId="1" xfId="0" applyFont="1" applyBorder="1" applyAlignment="1">
      <alignment horizontal="center"/>
    </xf>
    <xf numFmtId="165" fontId="6" fillId="0" borderId="1" xfId="0" applyNumberFormat="1" applyFont="1" applyBorder="1" applyAlignment="1">
      <alignment horizontal="center"/>
    </xf>
    <xf numFmtId="0" fontId="4" fillId="5" borderId="1" xfId="0" applyFont="1" applyFill="1" applyBorder="1"/>
    <xf numFmtId="164" fontId="6" fillId="0" borderId="1" xfId="0" applyNumberFormat="1" applyFont="1" applyBorder="1" applyAlignment="1">
      <alignment horizontal="center"/>
    </xf>
    <xf numFmtId="164" fontId="4" fillId="0" borderId="1" xfId="0" applyNumberFormat="1" applyFont="1" applyBorder="1" applyAlignment="1">
      <alignment horizontal="center"/>
    </xf>
    <xf numFmtId="0" fontId="38" fillId="0" borderId="1" xfId="0" applyFont="1" applyBorder="1"/>
    <xf numFmtId="165" fontId="4" fillId="0" borderId="1" xfId="0" applyNumberFormat="1" applyFont="1" applyBorder="1" applyAlignment="1">
      <alignment horizontal="center"/>
    </xf>
    <xf numFmtId="174" fontId="10" fillId="4" borderId="1" xfId="0" applyNumberFormat="1" applyFont="1" applyFill="1" applyBorder="1" applyAlignment="1">
      <alignment horizontal="center" vertical="center"/>
    </xf>
    <xf numFmtId="174" fontId="40" fillId="4" borderId="1" xfId="0" applyNumberFormat="1" applyFont="1" applyFill="1" applyBorder="1" applyAlignment="1">
      <alignment horizontal="center" vertical="center"/>
    </xf>
    <xf numFmtId="175" fontId="0" fillId="0" borderId="0" xfId="0" applyNumberFormat="1"/>
    <xf numFmtId="176" fontId="0" fillId="0" borderId="0" xfId="0" applyNumberFormat="1"/>
    <xf numFmtId="164" fontId="0" fillId="0" borderId="0" xfId="0" applyNumberFormat="1"/>
    <xf numFmtId="165" fontId="44" fillId="5" borderId="1" xfId="0" applyNumberFormat="1" applyFont="1" applyFill="1" applyBorder="1"/>
    <xf numFmtId="0" fontId="18" fillId="0" borderId="0" xfId="0" applyFont="1"/>
    <xf numFmtId="0" fontId="0" fillId="0" borderId="0" xfId="0"/>
    <xf numFmtId="0" fontId="2" fillId="2" borderId="0" xfId="0" applyFont="1" applyFill="1" applyAlignment="1">
      <alignment vertical="center"/>
    </xf>
    <xf numFmtId="0" fontId="7" fillId="0" borderId="0" xfId="0" applyFont="1"/>
    <xf numFmtId="0" fontId="9" fillId="0" borderId="0" xfId="0" applyFont="1"/>
    <xf numFmtId="0" fontId="5" fillId="4" borderId="1" xfId="0" applyFont="1" applyFill="1" applyBorder="1" applyAlignment="1">
      <alignment horizontal="left"/>
    </xf>
    <xf numFmtId="0" fontId="0" fillId="0" borderId="2" xfId="0" applyBorder="1"/>
    <xf numFmtId="0" fontId="0" fillId="0" borderId="3" xfId="0" applyBorder="1"/>
    <xf numFmtId="0" fontId="17" fillId="3" borderId="0" xfId="0" applyFont="1" applyFill="1" applyAlignment="1">
      <alignment horizontal="center" vertical="center"/>
    </xf>
    <xf numFmtId="0" fontId="4" fillId="0" borderId="1" xfId="0" applyFont="1" applyBorder="1" applyAlignment="1">
      <alignment horizontal="left" vertical="center"/>
    </xf>
    <xf numFmtId="0" fontId="15" fillId="3" borderId="0" xfId="0" applyFont="1" applyFill="1" applyAlignment="1">
      <alignment horizontal="center" vertical="center"/>
    </xf>
    <xf numFmtId="170" fontId="16" fillId="6" borderId="0" xfId="0" applyNumberFormat="1" applyFont="1" applyFill="1" applyAlignment="1">
      <alignment horizontal="center" vertical="center"/>
    </xf>
    <xf numFmtId="0" fontId="0" fillId="6" borderId="0" xfId="0" applyFill="1"/>
    <xf numFmtId="0" fontId="6" fillId="0" borderId="1" xfId="0" applyFont="1" applyBorder="1"/>
    <xf numFmtId="0" fontId="0" fillId="0" borderId="1" xfId="0" applyBorder="1"/>
    <xf numFmtId="0" fontId="8" fillId="5" borderId="1" xfId="0" applyFont="1" applyFill="1" applyBorder="1"/>
    <xf numFmtId="0" fontId="0" fillId="5" borderId="1" xfId="0" applyFill="1" applyBorder="1"/>
    <xf numFmtId="0" fontId="14" fillId="0" borderId="1" xfId="0" applyFont="1" applyBorder="1"/>
    <xf numFmtId="0" fontId="4" fillId="0" borderId="1" xfId="0" applyFont="1" applyBorder="1"/>
    <xf numFmtId="0" fontId="25" fillId="2" borderId="0" xfId="0" applyFont="1" applyFill="1"/>
    <xf numFmtId="0" fontId="0" fillId="2" borderId="1" xfId="0" applyFill="1" applyBorder="1"/>
    <xf numFmtId="0" fontId="41" fillId="0" borderId="0" xfId="0" applyFont="1" applyAlignment="1">
      <alignment horizontal="left" vertical="center" wrapText="1"/>
    </xf>
    <xf numFmtId="0" fontId="25" fillId="2" borderId="1" xfId="0" applyFont="1" applyFill="1" applyBorder="1"/>
    <xf numFmtId="0" fontId="43" fillId="0" borderId="0" xfId="0" applyFont="1" applyAlignment="1">
      <alignment vertical="top" wrapText="1"/>
    </xf>
    <xf numFmtId="0" fontId="30" fillId="0" borderId="1" xfId="0" applyFont="1" applyBorder="1"/>
    <xf numFmtId="0" fontId="12" fillId="0" borderId="0" xfId="0" applyFont="1"/>
    <xf numFmtId="0" fontId="13" fillId="5" borderId="1" xfId="0" applyFont="1" applyFill="1" applyBorder="1"/>
    <xf numFmtId="0" fontId="33" fillId="0" borderId="0" xfId="0" applyFont="1"/>
    <xf numFmtId="0" fontId="23" fillId="0" borderId="4" xfId="0" applyFont="1" applyBorder="1"/>
    <xf numFmtId="0" fontId="0" fillId="0" borderId="4" xfId="0" applyBorder="1"/>
    <xf numFmtId="0" fontId="32" fillId="0" borderId="0" xfId="0" applyFont="1"/>
    <xf numFmtId="0" fontId="26" fillId="0" borderId="0" xfId="0" applyFont="1"/>
    <xf numFmtId="0" fontId="25" fillId="2" borderId="6" xfId="0" applyFont="1" applyFill="1" applyBorder="1"/>
    <xf numFmtId="0" fontId="0" fillId="2" borderId="6" xfId="0" applyFill="1" applyBorder="1"/>
    <xf numFmtId="0" fontId="30" fillId="0" borderId="0" xfId="0" applyFont="1"/>
    <xf numFmtId="0" fontId="21" fillId="0" borderId="0" xfId="0" applyFont="1"/>
    <xf numFmtId="0" fontId="15" fillId="3" borderId="0" xfId="0" applyFont="1" applyFill="1"/>
    <xf numFmtId="0" fontId="0" fillId="3" borderId="0" xfId="0" applyFill="1"/>
    <xf numFmtId="0" fontId="19" fillId="3" borderId="0" xfId="0" applyFont="1" applyFill="1" applyAlignment="1">
      <alignment horizontal="center" vertical="center"/>
    </xf>
    <xf numFmtId="0" fontId="20" fillId="0" borderId="0" xfId="0" applyFont="1" applyAlignment="1">
      <alignment horizontal="center"/>
    </xf>
    <xf numFmtId="0" fontId="22" fillId="0" borderId="0" xfId="0" applyFont="1"/>
    <xf numFmtId="0" fontId="34" fillId="0" borderId="0" xfId="0" applyFont="1"/>
    <xf numFmtId="0" fontId="12" fillId="0" borderId="1" xfId="0" applyFont="1" applyBorder="1" applyAlignment="1">
      <alignment horizontal="left"/>
    </xf>
    <xf numFmtId="0" fontId="1" fillId="0" borderId="0" xfId="0" applyFont="1"/>
    <xf numFmtId="0" fontId="39" fillId="0" borderId="0" xfId="0" applyFont="1"/>
    <xf numFmtId="168" fontId="5" fillId="4" borderId="0" xfId="0" applyNumberFormat="1" applyFont="1" applyFill="1" applyBorder="1" applyAlignment="1">
      <alignment horizontal="center"/>
    </xf>
    <xf numFmtId="0" fontId="6" fillId="0" borderId="0" xfId="0" applyFont="1" applyBorder="1"/>
  </cellXfs>
  <cellStyles count="1">
    <cellStyle name="Normal" xfId="0" builtinId="0"/>
  </cellStyles>
  <dxfs count="9">
    <dxf>
      <fill>
        <patternFill patternType="solid">
          <fgColor rgb="FFD9EAD3"/>
          <bgColor rgb="FFD9EAD3"/>
        </patternFill>
      </fill>
    </dxf>
    <dxf>
      <fill>
        <patternFill patternType="solid">
          <fgColor rgb="FFFFF2CC"/>
          <bgColor rgb="FFFFF2CC"/>
        </patternFill>
      </fill>
    </dxf>
    <dxf>
      <fill>
        <patternFill patternType="solid">
          <fgColor rgb="FFF4CCCC"/>
          <bgColor rgb="FFF4CCCC"/>
        </patternFill>
      </fill>
    </dxf>
    <dxf>
      <fill>
        <patternFill patternType="solid">
          <fgColor rgb="FFD9EAD3"/>
          <bgColor rgb="FFD9EAD3"/>
        </patternFill>
      </fill>
    </dxf>
    <dxf>
      <fill>
        <patternFill patternType="solid">
          <fgColor rgb="FFFFF2CC"/>
          <bgColor rgb="FFFFF2CC"/>
        </patternFill>
      </fill>
    </dxf>
    <dxf>
      <fill>
        <patternFill patternType="solid">
          <fgColor rgb="FFF4CCCC"/>
          <bgColor rgb="FFF4CCCC"/>
        </patternFill>
      </fill>
    </dxf>
    <dxf>
      <font>
        <b/>
        <sz val="11"/>
        <color rgb="FFFFFFFF"/>
        <name val="Arial"/>
      </font>
      <fill>
        <patternFill patternType="solid">
          <fgColor rgb="FFC00000"/>
          <bgColor rgb="FFC00000"/>
        </patternFill>
      </fill>
    </dxf>
    <dxf>
      <fill>
        <patternFill patternType="solid">
          <fgColor rgb="FFD9EAD3"/>
          <bgColor rgb="FFD9EAD3"/>
        </patternFill>
      </fill>
    </dxf>
    <dxf>
      <font>
        <b/>
        <sz val="11"/>
        <color rgb="FFFFFFFF"/>
        <name val="Arial"/>
      </font>
      <fill>
        <patternFill patternType="solid">
          <fgColor rgb="FFC00000"/>
          <bgColor rgb="FFC00000"/>
        </patternFill>
      </fill>
    </dxf>
  </dxfs>
  <tableStyles count="0" defaultTableStyle="TableStyleMedium9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8" Type="http://schemas.openxmlformats.org/officeDocument/2006/relationships/worksheet" Target="worksheets/sheet8.xml"/><Relationship Id="rId3" Type="http://schemas.openxmlformats.org/officeDocument/2006/relationships/worksheet" Target="worksheets/sheet3.xml"/><Relationship Id="rId7" Type="http://schemas.openxmlformats.org/officeDocument/2006/relationships/worksheet" Target="worksheets/sheet7.xml"/><Relationship Id="rId12" Type="http://schemas.openxmlformats.org/officeDocument/2006/relationships/calcChain" Target="calcChain.xml"/><Relationship Id="rId2" Type="http://schemas.openxmlformats.org/officeDocument/2006/relationships/worksheet" Target="worksheets/sheet2.xml"/><Relationship Id="rId1" Type="http://schemas.openxmlformats.org/officeDocument/2006/relationships/worksheet" Target="worksheets/sheet1.xml"/><Relationship Id="rId6" Type="http://schemas.openxmlformats.org/officeDocument/2006/relationships/worksheet" Target="worksheets/sheet6.xml"/><Relationship Id="rId11" Type="http://schemas.openxmlformats.org/officeDocument/2006/relationships/sharedStrings" Target="sharedStrings.xml"/><Relationship Id="rId5" Type="http://schemas.openxmlformats.org/officeDocument/2006/relationships/worksheet" Target="worksheets/sheet5.xml"/><Relationship Id="rId10" Type="http://schemas.openxmlformats.org/officeDocument/2006/relationships/styles" Target="styles.xml"/><Relationship Id="rId4" Type="http://schemas.openxmlformats.org/officeDocument/2006/relationships/worksheet" Target="worksheets/sheet4.xml"/><Relationship Id="rId9" Type="http://schemas.openxmlformats.org/officeDocument/2006/relationships/theme" Target="theme/theme1.xml"/></Relationships>
</file>

<file path=xl/ctrlProps/ctrlProp1.xml><?xml version="1.0" encoding="utf-8"?>
<formControlPr xmlns="http://schemas.microsoft.com/office/spreadsheetml/2009/9/main" objectType="CheckBox" checked="Checked" fmlaLink="B10" lockText="1"/>
</file>

<file path=xl/ctrlProps/ctrlProp2.xml><?xml version="1.0" encoding="utf-8"?>
<formControlPr xmlns="http://schemas.microsoft.com/office/spreadsheetml/2009/9/main" objectType="CheckBox" checked="Checked" fmlaLink="B11" lockText="1"/>
</file>

<file path=xl/ctrlProps/ctrlProp3.xml><?xml version="1.0" encoding="utf-8"?>
<formControlPr xmlns="http://schemas.microsoft.com/office/spreadsheetml/2009/9/main" objectType="CheckBox" checked="Checked" fmlaLink="B12" lockText="1"/>
</file>

<file path=xl/ctrlProps/ctrlProp4.xml><?xml version="1.0" encoding="utf-8"?>
<formControlPr xmlns="http://schemas.microsoft.com/office/spreadsheetml/2009/9/main" objectType="CheckBox" checked="Checked" fmlaLink="B13" lockText="1"/>
</file>

<file path=xl/ctrlProps/ctrlProp5.xml><?xml version="1.0" encoding="utf-8"?>
<formControlPr xmlns="http://schemas.microsoft.com/office/spreadsheetml/2009/9/main" objectType="CheckBox" fmlaLink="B14" lockText="1"/>
</file>

<file path=xl/ctrlProps/ctrlProp6.xml><?xml version="1.0" encoding="utf-8"?>
<formControlPr xmlns="http://schemas.microsoft.com/office/spreadsheetml/2009/9/main" objectType="CheckBox" fmlaLink="F10" lockText="1"/>
</file>

<file path=xl/ctrlProps/ctrlProp7.xml><?xml version="1.0" encoding="utf-8"?>
<formControlPr xmlns="http://schemas.microsoft.com/office/spreadsheetml/2009/9/main" objectType="CheckBox" fmlaLink="C14" lockText="1"/>
</file>

<file path=xl/ctrlProps/ctrlProp8.xml><?xml version="1.0" encoding="utf-8"?>
<formControlPr xmlns="http://schemas.microsoft.com/office/spreadsheetml/2009/9/main" objectType="CheckBox" fmlaLink="C15" lockText="1"/>
</file>

<file path=xl/ctrlProps/ctrlProp9.xml><?xml version="1.0" encoding="utf-8"?>
<formControlPr xmlns="http://schemas.microsoft.com/office/spreadsheetml/2009/9/main" objectType="CheckBox" fmlaLink="C16" lockText="1"/>
</file>

<file path=xl/ctrlProps/ctrlProp10.xml><?xml version="1.0" encoding="utf-8"?>
<formControlPr xmlns="http://schemas.microsoft.com/office/spreadsheetml/2009/9/main" objectType="CheckBox" fmlaLink="C17" lockText="1"/>
</file>

<file path=xl/ctrlProps/ctrlProp11.xml><?xml version="1.0" encoding="utf-8"?>
<formControlPr xmlns="http://schemas.microsoft.com/office/spreadsheetml/2009/9/main" objectType="CheckBox" fmlaLink="C18" lockText="1"/>
</file>

<file path=xl/ctrlProps/ctrlProp12.xml><?xml version="1.0" encoding="utf-8"?>
<formControlPr xmlns="http://schemas.microsoft.com/office/spreadsheetml/2009/9/main" objectType="CheckBox" fmlaLink="C19" lockText="1"/>
</file>

<file path=xl/ctrlProps/ctrlProp13.xml><?xml version="1.0" encoding="utf-8"?>
<formControlPr xmlns="http://schemas.microsoft.com/office/spreadsheetml/2009/9/main" objectType="CheckBox" fmlaLink="C20" lockText="1"/>
</file>

<file path=xl/ctrlProps/ctrlProp14.xml><?xml version="1.0" encoding="utf-8"?>
<formControlPr xmlns="http://schemas.microsoft.com/office/spreadsheetml/2009/9/main" objectType="CheckBox" checked="Checked" fmlaLink="C10" lockText="1"/>
</file>

<file path=xl/ctrlProps/ctrlProp15.xml><?xml version="1.0" encoding="utf-8"?>
<formControlPr xmlns="http://schemas.microsoft.com/office/spreadsheetml/2009/9/main" objectType="CheckBox" checked="Checked" fmlaLink="C11" lockText="1"/>
</file>

<file path=xl/ctrlProps/ctrlProp16.xml><?xml version="1.0" encoding="utf-8"?>
<formControlPr xmlns="http://schemas.microsoft.com/office/spreadsheetml/2009/9/main" objectType="CheckBox" checked="Checked" fmlaLink="C12" lockText="1"/>
</file>

<file path=xl/ctrlProps/ctrlProp17.xml><?xml version="1.0" encoding="utf-8"?>
<formControlPr xmlns="http://schemas.microsoft.com/office/spreadsheetml/2009/9/main" objectType="CheckBox" checked="Checked" fmlaLink="C13" lockText="1"/>
</file>

<file path=xl/ctrlProps/ctrlProp18.xml><?xml version="1.0" encoding="utf-8"?>
<formControlPr xmlns="http://schemas.microsoft.com/office/spreadsheetml/2009/9/main" objectType="CheckBox" checked="Checked" fmlaLink="C14" lockText="1"/>
</file>

<file path=xl/ctrlProps/ctrlProp19.xml><?xml version="1.0" encoding="utf-8"?>
<formControlPr xmlns="http://schemas.microsoft.com/office/spreadsheetml/2009/9/main" objectType="CheckBox" checked="Checked" fmlaLink="C15" lockText="1"/>
</file>

<file path=xl/ctrlProps/ctrlProp20.xml><?xml version="1.0" encoding="utf-8"?>
<formControlPr xmlns="http://schemas.microsoft.com/office/spreadsheetml/2009/9/main" objectType="CheckBox" checked="Checked" fmlaLink="C16" lockText="1"/>
</file>

<file path=xl/ctrlProps/ctrlProp21.xml><?xml version="1.0" encoding="utf-8"?>
<formControlPr xmlns="http://schemas.microsoft.com/office/spreadsheetml/2009/9/main" objectType="CheckBox" checked="Checked" fmlaLink="C17" lockText="1"/>
</file>

<file path=xl/ctrlProps/ctrlProp22.xml><?xml version="1.0" encoding="utf-8"?>
<formControlPr xmlns="http://schemas.microsoft.com/office/spreadsheetml/2009/9/main" objectType="CheckBox" checked="Checked" fmlaLink="C18" lockText="1"/>
</file>

<file path=xl/ctrlProps/ctrlProp23.xml><?xml version="1.0" encoding="utf-8"?>
<formControlPr xmlns="http://schemas.microsoft.com/office/spreadsheetml/2009/9/main" objectType="CheckBox" checked="Checked" fmlaLink="C19" lockText="1"/>
</file>

<file path=xl/ctrlProps/ctrlProp24.xml><?xml version="1.0" encoding="utf-8"?>
<formControlPr xmlns="http://schemas.microsoft.com/office/spreadsheetml/2009/9/main" objectType="CheckBox" fmlaLink="C20" lockText="1"/>
</file>

<file path=xl/ctrlProps/ctrlProp25.xml><?xml version="1.0" encoding="utf-8"?>
<formControlPr xmlns="http://schemas.microsoft.com/office/spreadsheetml/2009/9/main" objectType="CheckBox" checked="Checked" fmlaLink="C21" lockText="1"/>
</file>

<file path=xl/ctrlProps/ctrlProp26.xml><?xml version="1.0" encoding="utf-8"?>
<formControlPr xmlns="http://schemas.microsoft.com/office/spreadsheetml/2009/9/main" objectType="CheckBox" checked="Checked" fmlaLink="B8" lockText="1"/>
</file>

<file path=xl/ctrlProps/ctrlProp27.xml><?xml version="1.0" encoding="utf-8"?>
<formControlPr xmlns="http://schemas.microsoft.com/office/spreadsheetml/2009/9/main" objectType="CheckBox" fmlaLink="B9" lockText="1"/>
</file>

<file path=xl/ctrlProps/ctrlProp28.xml><?xml version="1.0" encoding="utf-8"?>
<formControlPr xmlns="http://schemas.microsoft.com/office/spreadsheetml/2009/9/main" objectType="CheckBox" fmlaLink="B10" lockText="1"/>
</file>

<file path=xl/ctrlProps/ctrlProp29.xml><?xml version="1.0" encoding="utf-8"?>
<formControlPr xmlns="http://schemas.microsoft.com/office/spreadsheetml/2009/9/main" objectType="CheckBox" fmlaLink="B11" lockText="1"/>
</file>

<file path=xl/ctrlProps/ctrlProp30.xml><?xml version="1.0" encoding="utf-8"?>
<formControlPr xmlns="http://schemas.microsoft.com/office/spreadsheetml/2009/9/main" objectType="CheckBox" fmlaLink="B12" lockText="1"/>
</file>

<file path=xl/ctrlProps/ctrlProp31.xml><?xml version="1.0" encoding="utf-8"?>
<formControlPr xmlns="http://schemas.microsoft.com/office/spreadsheetml/2009/9/main" objectType="CheckBox" fmlaLink="C8" lockText="1"/>
</file>

<file path=xl/ctrlProps/ctrlProp32.xml><?xml version="1.0" encoding="utf-8"?>
<formControlPr xmlns="http://schemas.microsoft.com/office/spreadsheetml/2009/9/main" objectType="CheckBox" checked="Checked" fmlaLink="C9" lockText="1"/>
</file>

<file path=xl/ctrlProps/ctrlProp33.xml><?xml version="1.0" encoding="utf-8"?>
<formControlPr xmlns="http://schemas.microsoft.com/office/spreadsheetml/2009/9/main" objectType="CheckBox" checked="Checked" fmlaLink="C10" lockText="1"/>
</file>

<file path=xl/ctrlProps/ctrlProp34.xml><?xml version="1.0" encoding="utf-8"?>
<formControlPr xmlns="http://schemas.microsoft.com/office/spreadsheetml/2009/9/main" objectType="CheckBox" checked="Checked" fmlaLink="C11" lockText="1"/>
</file>

<file path=xl/ctrlProps/ctrlProp35.xml><?xml version="1.0" encoding="utf-8"?>
<formControlPr xmlns="http://schemas.microsoft.com/office/spreadsheetml/2009/9/main" objectType="CheckBox" fmlaLink="C12" lockText="1"/>
</file>

<file path=xl/ctrlProps/ctrlProp36.xml><?xml version="1.0" encoding="utf-8"?>
<formControlPr xmlns="http://schemas.microsoft.com/office/spreadsheetml/2009/9/main" objectType="CheckBox" fmlaLink="D8" lockText="1"/>
</file>

<file path=xl/ctrlProps/ctrlProp37.xml><?xml version="1.0" encoding="utf-8"?>
<formControlPr xmlns="http://schemas.microsoft.com/office/spreadsheetml/2009/9/main" objectType="CheckBox" checked="Checked" fmlaLink="D9" lockText="1"/>
</file>

<file path=xl/ctrlProps/ctrlProp38.xml><?xml version="1.0" encoding="utf-8"?>
<formControlPr xmlns="http://schemas.microsoft.com/office/spreadsheetml/2009/9/main" objectType="CheckBox" checked="Checked" fmlaLink="D10" lockText="1"/>
</file>

<file path=xl/ctrlProps/ctrlProp39.xml><?xml version="1.0" encoding="utf-8"?>
<formControlPr xmlns="http://schemas.microsoft.com/office/spreadsheetml/2009/9/main" objectType="CheckBox" checked="Checked" fmlaLink="D11" lockText="1"/>
</file>

<file path=xl/ctrlProps/ctrlProp40.xml><?xml version="1.0" encoding="utf-8"?>
<formControlPr xmlns="http://schemas.microsoft.com/office/spreadsheetml/2009/9/main" objectType="CheckBox" checked="Checked" fmlaLink="D12" lockText="1"/>
</file>

<file path=xl/drawings/drawing1.xml><?xml version="1.0" encoding="utf-8"?>
<xdr:wsDr xmlns:xdr="http://schemas.openxmlformats.org/drawingml/2006/spreadsheetDrawing" xmlns:a="http://schemas.openxmlformats.org/drawingml/2006/main">
  <mc:AlternateContent xmlns:mc="http://schemas.openxmlformats.org/markup-compatibility/2006">
    <mc:Choice xmlns:a14="http://schemas.microsoft.com/office/drawing/2010/main" Requires="a14">
      <xdr:twoCellAnchor editAs="oneCell">
        <xdr:from>
          <xdr:col>1</xdr:col>
          <xdr:colOff>461176</xdr:colOff>
          <xdr:row>9</xdr:row>
          <xdr:rowOff>39757</xdr:rowOff>
        </xdr:from>
        <xdr:to>
          <xdr:col>1</xdr:col>
          <xdr:colOff>659958</xdr:colOff>
          <xdr:row>9</xdr:row>
          <xdr:rowOff>254442</xdr:rowOff>
        </xdr:to>
        <xdr:sp macro="" textlink="">
          <xdr:nvSpPr>
            <xdr:cNvPr id="1025" name="Check Box 1" hidden="1">
              <a:extLst>
                <a:ext uri="{63B3BB69-23CF-44E3-9099-C40C66FF867C}">
                  <a14:compatExt spid="_x0000_s1025"/>
                </a:ext>
                <a:ext uri="{FF2B5EF4-FFF2-40B4-BE49-F238E27FC236}">
                  <a16:creationId xmlns:a16="http://schemas.microsoft.com/office/drawing/2014/main" id="{00000000-0008-0000-0000-000001040000}"/>
                </a:ext>
              </a:extLst>
            </xdr:cNvPr>
            <xdr:cNvSpPr/>
          </xdr:nvSpPr>
          <xdr:spPr bwMode="auto">
            <a:xfrm>
              <a:off x="0" y="0"/>
              <a:ext cx="0" cy="0"/>
            </a:xfrm>
            <a:prstGeom prst="rect">
              <a:avLst/>
            </a:prstGeom>
            <a:noFill/>
            <a:ln>
              <a:noFill/>
            </a:ln>
            <a:extLst>
              <a:ext uri="{909E8E84-426E-40DD-AFC4-6F175D3DCCD1}">
                <a14:hiddenFill>
                  <a:solidFill>
                    <a:srgbClr val="000000" mc:Ignorable="a14" a14:legacySpreadsheetColorIndex="64"/>
                  </a:solidFill>
                </a14:hiddenFill>
              </a:ext>
              <a:ext uri="{91240B29-F687-4F45-9708-019B960494DF}">
                <a14:hiddenLine w="1">
                  <a:solidFill>
                    <a:srgbClr val="FFFFFF" mc:Ignorable="a14" a14:legacySpreadsheetColorIndex="65"/>
                  </a:solidFill>
                  <a:miter lim="800000"/>
                  <a:headEnd/>
                  <a:tailEnd/>
                </a14:hiddenLine>
              </a:ext>
            </a:extLst>
          </xdr:spPr>
        </xdr:sp>
        <xdr:clientData/>
      </xdr:twoCellAnchor>
    </mc:Choice>
    <mc:Fallback/>
  </mc:AlternateContent>
  <mc:AlternateContent xmlns:mc="http://schemas.openxmlformats.org/markup-compatibility/2006">
    <mc:Choice xmlns:a14="http://schemas.microsoft.com/office/drawing/2010/main" Requires="a14">
      <xdr:twoCellAnchor editAs="oneCell">
        <xdr:from>
          <xdr:col>1</xdr:col>
          <xdr:colOff>461176</xdr:colOff>
          <xdr:row>10</xdr:row>
          <xdr:rowOff>39757</xdr:rowOff>
        </xdr:from>
        <xdr:to>
          <xdr:col>1</xdr:col>
          <xdr:colOff>659958</xdr:colOff>
          <xdr:row>10</xdr:row>
          <xdr:rowOff>254442</xdr:rowOff>
        </xdr:to>
        <xdr:sp macro="" textlink="">
          <xdr:nvSpPr>
            <xdr:cNvPr id="1026" name="Check Box 2" hidden="1">
              <a:extLst>
                <a:ext uri="{63B3BB69-23CF-44E3-9099-C40C66FF867C}">
                  <a14:compatExt spid="_x0000_s1026"/>
                </a:ext>
                <a:ext uri="{FF2B5EF4-FFF2-40B4-BE49-F238E27FC236}">
                  <a16:creationId xmlns:a16="http://schemas.microsoft.com/office/drawing/2014/main" id="{00000000-0008-0000-0000-000002040000}"/>
                </a:ext>
              </a:extLst>
            </xdr:cNvPr>
            <xdr:cNvSpPr/>
          </xdr:nvSpPr>
          <xdr:spPr bwMode="auto">
            <a:xfrm>
              <a:off x="0" y="0"/>
              <a:ext cx="0" cy="0"/>
            </a:xfrm>
            <a:prstGeom prst="rect">
              <a:avLst/>
            </a:prstGeom>
            <a:noFill/>
            <a:ln>
              <a:noFill/>
            </a:ln>
            <a:extLst>
              <a:ext uri="{909E8E84-426E-40DD-AFC4-6F175D3DCCD1}">
                <a14:hiddenFill>
                  <a:solidFill>
                    <a:srgbClr val="000000" mc:Ignorable="a14" a14:legacySpreadsheetColorIndex="64"/>
                  </a:solidFill>
                </a14:hiddenFill>
              </a:ext>
              <a:ext uri="{91240B29-F687-4F45-9708-019B960494DF}">
                <a14:hiddenLine w="1">
                  <a:solidFill>
                    <a:srgbClr val="FFFFFF" mc:Ignorable="a14" a14:legacySpreadsheetColorIndex="65"/>
                  </a:solidFill>
                  <a:miter lim="800000"/>
                  <a:headEnd/>
                  <a:tailEnd/>
                </a14:hiddenLine>
              </a:ext>
            </a:extLst>
          </xdr:spPr>
        </xdr:sp>
        <xdr:clientData/>
      </xdr:twoCellAnchor>
    </mc:Choice>
    <mc:Fallback/>
  </mc:AlternateContent>
  <mc:AlternateContent xmlns:mc="http://schemas.openxmlformats.org/markup-compatibility/2006">
    <mc:Choice xmlns:a14="http://schemas.microsoft.com/office/drawing/2010/main" Requires="a14">
      <xdr:twoCellAnchor editAs="oneCell">
        <xdr:from>
          <xdr:col>1</xdr:col>
          <xdr:colOff>461176</xdr:colOff>
          <xdr:row>11</xdr:row>
          <xdr:rowOff>39757</xdr:rowOff>
        </xdr:from>
        <xdr:to>
          <xdr:col>1</xdr:col>
          <xdr:colOff>659958</xdr:colOff>
          <xdr:row>11</xdr:row>
          <xdr:rowOff>254442</xdr:rowOff>
        </xdr:to>
        <xdr:sp macro="" textlink="">
          <xdr:nvSpPr>
            <xdr:cNvPr id="1027" name="Check Box 3" hidden="1">
              <a:extLst>
                <a:ext uri="{63B3BB69-23CF-44E3-9099-C40C66FF867C}">
                  <a14:compatExt spid="_x0000_s1027"/>
                </a:ext>
                <a:ext uri="{FF2B5EF4-FFF2-40B4-BE49-F238E27FC236}">
                  <a16:creationId xmlns:a16="http://schemas.microsoft.com/office/drawing/2014/main" id="{00000000-0008-0000-0000-000003040000}"/>
                </a:ext>
              </a:extLst>
            </xdr:cNvPr>
            <xdr:cNvSpPr/>
          </xdr:nvSpPr>
          <xdr:spPr bwMode="auto">
            <a:xfrm>
              <a:off x="0" y="0"/>
              <a:ext cx="0" cy="0"/>
            </a:xfrm>
            <a:prstGeom prst="rect">
              <a:avLst/>
            </a:prstGeom>
            <a:noFill/>
            <a:ln>
              <a:noFill/>
            </a:ln>
            <a:extLst>
              <a:ext uri="{909E8E84-426E-40DD-AFC4-6F175D3DCCD1}">
                <a14:hiddenFill>
                  <a:solidFill>
                    <a:srgbClr val="000000" mc:Ignorable="a14" a14:legacySpreadsheetColorIndex="64"/>
                  </a:solidFill>
                </a14:hiddenFill>
              </a:ext>
              <a:ext uri="{91240B29-F687-4F45-9708-019B960494DF}">
                <a14:hiddenLine w="1">
                  <a:solidFill>
                    <a:srgbClr val="FFFFFF" mc:Ignorable="a14" a14:legacySpreadsheetColorIndex="65"/>
                  </a:solidFill>
                  <a:miter lim="800000"/>
                  <a:headEnd/>
                  <a:tailEnd/>
                </a14:hiddenLine>
              </a:ext>
            </a:extLst>
          </xdr:spPr>
        </xdr:sp>
        <xdr:clientData/>
      </xdr:twoCellAnchor>
    </mc:Choice>
    <mc:Fallback/>
  </mc:AlternateContent>
  <mc:AlternateContent xmlns:mc="http://schemas.openxmlformats.org/markup-compatibility/2006">
    <mc:Choice xmlns:a14="http://schemas.microsoft.com/office/drawing/2010/main" Requires="a14">
      <xdr:twoCellAnchor editAs="oneCell">
        <xdr:from>
          <xdr:col>1</xdr:col>
          <xdr:colOff>461176</xdr:colOff>
          <xdr:row>12</xdr:row>
          <xdr:rowOff>39757</xdr:rowOff>
        </xdr:from>
        <xdr:to>
          <xdr:col>1</xdr:col>
          <xdr:colOff>659958</xdr:colOff>
          <xdr:row>12</xdr:row>
          <xdr:rowOff>254442</xdr:rowOff>
        </xdr:to>
        <xdr:sp macro="" textlink="">
          <xdr:nvSpPr>
            <xdr:cNvPr id="1028" name="Check Box 4" hidden="1">
              <a:extLst>
                <a:ext uri="{63B3BB69-23CF-44E3-9099-C40C66FF867C}">
                  <a14:compatExt spid="_x0000_s1028"/>
                </a:ext>
                <a:ext uri="{FF2B5EF4-FFF2-40B4-BE49-F238E27FC236}">
                  <a16:creationId xmlns:a16="http://schemas.microsoft.com/office/drawing/2014/main" id="{00000000-0008-0000-0000-000004040000}"/>
                </a:ext>
              </a:extLst>
            </xdr:cNvPr>
            <xdr:cNvSpPr/>
          </xdr:nvSpPr>
          <xdr:spPr bwMode="auto">
            <a:xfrm>
              <a:off x="0" y="0"/>
              <a:ext cx="0" cy="0"/>
            </a:xfrm>
            <a:prstGeom prst="rect">
              <a:avLst/>
            </a:prstGeom>
            <a:noFill/>
            <a:ln>
              <a:noFill/>
            </a:ln>
            <a:extLst>
              <a:ext uri="{909E8E84-426E-40DD-AFC4-6F175D3DCCD1}">
                <a14:hiddenFill>
                  <a:solidFill>
                    <a:srgbClr val="000000" mc:Ignorable="a14" a14:legacySpreadsheetColorIndex="64"/>
                  </a:solidFill>
                </a14:hiddenFill>
              </a:ext>
              <a:ext uri="{91240B29-F687-4F45-9708-019B960494DF}">
                <a14:hiddenLine w="1">
                  <a:solidFill>
                    <a:srgbClr val="FFFFFF" mc:Ignorable="a14" a14:legacySpreadsheetColorIndex="65"/>
                  </a:solidFill>
                  <a:miter lim="800000"/>
                  <a:headEnd/>
                  <a:tailEnd/>
                </a14:hiddenLine>
              </a:ext>
            </a:extLst>
          </xdr:spPr>
        </xdr:sp>
        <xdr:clientData/>
      </xdr:twoCellAnchor>
    </mc:Choice>
    <mc:Fallback/>
  </mc:AlternateContent>
  <mc:AlternateContent xmlns:mc="http://schemas.openxmlformats.org/markup-compatibility/2006">
    <mc:Choice xmlns:a14="http://schemas.microsoft.com/office/drawing/2010/main" Requires="a14">
      <xdr:twoCellAnchor editAs="oneCell">
        <xdr:from>
          <xdr:col>1</xdr:col>
          <xdr:colOff>461176</xdr:colOff>
          <xdr:row>13</xdr:row>
          <xdr:rowOff>39757</xdr:rowOff>
        </xdr:from>
        <xdr:to>
          <xdr:col>1</xdr:col>
          <xdr:colOff>659958</xdr:colOff>
          <xdr:row>13</xdr:row>
          <xdr:rowOff>254442</xdr:rowOff>
        </xdr:to>
        <xdr:sp macro="" textlink="">
          <xdr:nvSpPr>
            <xdr:cNvPr id="1029" name="Check Box 5" hidden="1">
              <a:extLst>
                <a:ext uri="{63B3BB69-23CF-44E3-9099-C40C66FF867C}">
                  <a14:compatExt spid="_x0000_s1029"/>
                </a:ext>
                <a:ext uri="{FF2B5EF4-FFF2-40B4-BE49-F238E27FC236}">
                  <a16:creationId xmlns:a16="http://schemas.microsoft.com/office/drawing/2014/main" id="{00000000-0008-0000-0000-000005040000}"/>
                </a:ext>
              </a:extLst>
            </xdr:cNvPr>
            <xdr:cNvSpPr/>
          </xdr:nvSpPr>
          <xdr:spPr bwMode="auto">
            <a:xfrm>
              <a:off x="0" y="0"/>
              <a:ext cx="0" cy="0"/>
            </a:xfrm>
            <a:prstGeom prst="rect">
              <a:avLst/>
            </a:prstGeom>
            <a:noFill/>
            <a:ln>
              <a:noFill/>
            </a:ln>
            <a:extLst>
              <a:ext uri="{909E8E84-426E-40DD-AFC4-6F175D3DCCD1}">
                <a14:hiddenFill>
                  <a:solidFill>
                    <a:srgbClr val="000000" mc:Ignorable="a14" a14:legacySpreadsheetColorIndex="64"/>
                  </a:solidFill>
                </a14:hiddenFill>
              </a:ext>
              <a:ext uri="{91240B29-F687-4F45-9708-019B960494DF}">
                <a14:hiddenLine w="1">
                  <a:solidFill>
                    <a:srgbClr val="FFFFFF" mc:Ignorable="a14" a14:legacySpreadsheetColorIndex="65"/>
                  </a:solidFill>
                  <a:miter lim="800000"/>
                  <a:headEnd/>
                  <a:tailEnd/>
                </a14:hiddenLine>
              </a:ext>
            </a:extLst>
          </xdr:spPr>
        </xdr:sp>
        <xdr:clientData/>
      </xdr:twoCellAnchor>
    </mc:Choice>
    <mc:Fallback/>
  </mc:AlternateContent>
</xdr:wsDr>
</file>

<file path=xl/drawings/drawing2.xml><?xml version="1.0" encoding="utf-8"?>
<xdr:wsDr xmlns:xdr="http://schemas.openxmlformats.org/drawingml/2006/spreadsheetDrawing" xmlns:a="http://schemas.openxmlformats.org/drawingml/2006/main">
  <mc:AlternateContent xmlns:mc="http://schemas.openxmlformats.org/markup-compatibility/2006">
    <mc:Choice xmlns:a14="http://schemas.microsoft.com/office/drawing/2010/main" Requires="a14">
      <xdr:twoCellAnchor editAs="oneCell">
        <xdr:from>
          <xdr:col>5</xdr:col>
          <xdr:colOff>524786</xdr:colOff>
          <xdr:row>9</xdr:row>
          <xdr:rowOff>47708</xdr:rowOff>
        </xdr:from>
        <xdr:to>
          <xdr:col>5</xdr:col>
          <xdr:colOff>731520</xdr:colOff>
          <xdr:row>9</xdr:row>
          <xdr:rowOff>270344</xdr:rowOff>
        </xdr:to>
        <xdr:sp macro="" textlink="">
          <xdr:nvSpPr>
            <xdr:cNvPr id="4097" name="Check Box 1" hidden="1">
              <a:extLst>
                <a:ext uri="{63B3BB69-23CF-44E3-9099-C40C66FF867C}">
                  <a14:compatExt spid="_x0000_s4097"/>
                </a:ext>
                <a:ext uri="{FF2B5EF4-FFF2-40B4-BE49-F238E27FC236}">
                  <a16:creationId xmlns:a16="http://schemas.microsoft.com/office/drawing/2014/main" id="{00000000-0008-0000-0100-000001100000}"/>
                </a:ext>
              </a:extLst>
            </xdr:cNvPr>
            <xdr:cNvSpPr/>
          </xdr:nvSpPr>
          <xdr:spPr bwMode="auto">
            <a:xfrm>
              <a:off x="0" y="0"/>
              <a:ext cx="0" cy="0"/>
            </a:xfrm>
            <a:prstGeom prst="rect">
              <a:avLst/>
            </a:prstGeom>
            <a:noFill/>
            <a:ln>
              <a:noFill/>
            </a:ln>
            <a:extLst>
              <a:ext uri="{909E8E84-426E-40DD-AFC4-6F175D3DCCD1}">
                <a14:hiddenFill>
                  <a:solidFill>
                    <a:srgbClr val="000000" mc:Ignorable="a14" a14:legacySpreadsheetColorIndex="64"/>
                  </a:solidFill>
                </a14:hiddenFill>
              </a:ext>
              <a:ext uri="{91240B29-F687-4F45-9708-019B960494DF}">
                <a14:hiddenLine w="1">
                  <a:solidFill>
                    <a:srgbClr val="FFFFFF" mc:Ignorable="a14" a14:legacySpreadsheetColorIndex="65"/>
                  </a:solidFill>
                  <a:miter lim="800000"/>
                  <a:headEnd/>
                  <a:tailEnd/>
                </a14:hiddenLine>
              </a:ext>
            </a:extLst>
          </xdr:spPr>
        </xdr:sp>
        <xdr:clientData/>
      </xdr:twoCellAnchor>
    </mc:Choice>
    <mc:Fallback/>
  </mc:AlternateContent>
  <mc:AlternateContent xmlns:mc="http://schemas.openxmlformats.org/markup-compatibility/2006">
    <mc:Choice xmlns:a14="http://schemas.microsoft.com/office/drawing/2010/main" Requires="a14">
      <xdr:twoCellAnchor editAs="oneCell">
        <xdr:from>
          <xdr:col>2</xdr:col>
          <xdr:colOff>318052</xdr:colOff>
          <xdr:row>13</xdr:row>
          <xdr:rowOff>47708</xdr:rowOff>
        </xdr:from>
        <xdr:to>
          <xdr:col>2</xdr:col>
          <xdr:colOff>516835</xdr:colOff>
          <xdr:row>13</xdr:row>
          <xdr:rowOff>270344</xdr:rowOff>
        </xdr:to>
        <xdr:sp macro="" textlink="">
          <xdr:nvSpPr>
            <xdr:cNvPr id="4098" name="Check Box 2" hidden="1">
              <a:extLst>
                <a:ext uri="{63B3BB69-23CF-44E3-9099-C40C66FF867C}">
                  <a14:compatExt spid="_x0000_s4098"/>
                </a:ext>
                <a:ext uri="{FF2B5EF4-FFF2-40B4-BE49-F238E27FC236}">
                  <a16:creationId xmlns:a16="http://schemas.microsoft.com/office/drawing/2014/main" id="{00000000-0008-0000-0100-000002100000}"/>
                </a:ext>
              </a:extLst>
            </xdr:cNvPr>
            <xdr:cNvSpPr/>
          </xdr:nvSpPr>
          <xdr:spPr bwMode="auto">
            <a:xfrm>
              <a:off x="0" y="0"/>
              <a:ext cx="0" cy="0"/>
            </a:xfrm>
            <a:prstGeom prst="rect">
              <a:avLst/>
            </a:prstGeom>
            <a:noFill/>
            <a:ln>
              <a:noFill/>
            </a:ln>
            <a:extLst>
              <a:ext uri="{909E8E84-426E-40DD-AFC4-6F175D3DCCD1}">
                <a14:hiddenFill>
                  <a:solidFill>
                    <a:srgbClr val="000000" mc:Ignorable="a14" a14:legacySpreadsheetColorIndex="64"/>
                  </a:solidFill>
                </a14:hiddenFill>
              </a:ext>
              <a:ext uri="{91240B29-F687-4F45-9708-019B960494DF}">
                <a14:hiddenLine w="1">
                  <a:solidFill>
                    <a:srgbClr val="FFFFFF" mc:Ignorable="a14" a14:legacySpreadsheetColorIndex="65"/>
                  </a:solidFill>
                  <a:miter lim="800000"/>
                  <a:headEnd/>
                  <a:tailEnd/>
                </a14:hiddenLine>
              </a:ext>
            </a:extLst>
          </xdr:spPr>
        </xdr:sp>
        <xdr:clientData/>
      </xdr:twoCellAnchor>
    </mc:Choice>
    <mc:Fallback/>
  </mc:AlternateContent>
  <mc:AlternateContent xmlns:mc="http://schemas.openxmlformats.org/markup-compatibility/2006">
    <mc:Choice xmlns:a14="http://schemas.microsoft.com/office/drawing/2010/main" Requires="a14">
      <xdr:twoCellAnchor editAs="oneCell">
        <xdr:from>
          <xdr:col>2</xdr:col>
          <xdr:colOff>318052</xdr:colOff>
          <xdr:row>14</xdr:row>
          <xdr:rowOff>47708</xdr:rowOff>
        </xdr:from>
        <xdr:to>
          <xdr:col>2</xdr:col>
          <xdr:colOff>516835</xdr:colOff>
          <xdr:row>14</xdr:row>
          <xdr:rowOff>270344</xdr:rowOff>
        </xdr:to>
        <xdr:sp macro="" textlink="">
          <xdr:nvSpPr>
            <xdr:cNvPr id="4099" name="Check Box 3" hidden="1">
              <a:extLst>
                <a:ext uri="{63B3BB69-23CF-44E3-9099-C40C66FF867C}">
                  <a14:compatExt spid="_x0000_s4099"/>
                </a:ext>
                <a:ext uri="{FF2B5EF4-FFF2-40B4-BE49-F238E27FC236}">
                  <a16:creationId xmlns:a16="http://schemas.microsoft.com/office/drawing/2014/main" id="{00000000-0008-0000-0100-000003100000}"/>
                </a:ext>
              </a:extLst>
            </xdr:cNvPr>
            <xdr:cNvSpPr/>
          </xdr:nvSpPr>
          <xdr:spPr bwMode="auto">
            <a:xfrm>
              <a:off x="0" y="0"/>
              <a:ext cx="0" cy="0"/>
            </a:xfrm>
            <a:prstGeom prst="rect">
              <a:avLst/>
            </a:prstGeom>
            <a:noFill/>
            <a:ln>
              <a:noFill/>
            </a:ln>
            <a:extLst>
              <a:ext uri="{909E8E84-426E-40DD-AFC4-6F175D3DCCD1}">
                <a14:hiddenFill>
                  <a:solidFill>
                    <a:srgbClr val="000000" mc:Ignorable="a14" a14:legacySpreadsheetColorIndex="64"/>
                  </a:solidFill>
                </a14:hiddenFill>
              </a:ext>
              <a:ext uri="{91240B29-F687-4F45-9708-019B960494DF}">
                <a14:hiddenLine w="1">
                  <a:solidFill>
                    <a:srgbClr val="FFFFFF" mc:Ignorable="a14" a14:legacySpreadsheetColorIndex="65"/>
                  </a:solidFill>
                  <a:miter lim="800000"/>
                  <a:headEnd/>
                  <a:tailEnd/>
                </a14:hiddenLine>
              </a:ext>
            </a:extLst>
          </xdr:spPr>
        </xdr:sp>
        <xdr:clientData/>
      </xdr:twoCellAnchor>
    </mc:Choice>
    <mc:Fallback/>
  </mc:AlternateContent>
  <mc:AlternateContent xmlns:mc="http://schemas.openxmlformats.org/markup-compatibility/2006">
    <mc:Choice xmlns:a14="http://schemas.microsoft.com/office/drawing/2010/main" Requires="a14">
      <xdr:twoCellAnchor editAs="oneCell">
        <xdr:from>
          <xdr:col>2</xdr:col>
          <xdr:colOff>318052</xdr:colOff>
          <xdr:row>15</xdr:row>
          <xdr:rowOff>47708</xdr:rowOff>
        </xdr:from>
        <xdr:to>
          <xdr:col>2</xdr:col>
          <xdr:colOff>516835</xdr:colOff>
          <xdr:row>15</xdr:row>
          <xdr:rowOff>270344</xdr:rowOff>
        </xdr:to>
        <xdr:sp macro="" textlink="">
          <xdr:nvSpPr>
            <xdr:cNvPr id="4100" name="Check Box 4" hidden="1">
              <a:extLst>
                <a:ext uri="{63B3BB69-23CF-44E3-9099-C40C66FF867C}">
                  <a14:compatExt spid="_x0000_s4100"/>
                </a:ext>
                <a:ext uri="{FF2B5EF4-FFF2-40B4-BE49-F238E27FC236}">
                  <a16:creationId xmlns:a16="http://schemas.microsoft.com/office/drawing/2014/main" id="{00000000-0008-0000-0100-000004100000}"/>
                </a:ext>
              </a:extLst>
            </xdr:cNvPr>
            <xdr:cNvSpPr/>
          </xdr:nvSpPr>
          <xdr:spPr bwMode="auto">
            <a:xfrm>
              <a:off x="0" y="0"/>
              <a:ext cx="0" cy="0"/>
            </a:xfrm>
            <a:prstGeom prst="rect">
              <a:avLst/>
            </a:prstGeom>
            <a:noFill/>
            <a:ln>
              <a:noFill/>
            </a:ln>
            <a:extLst>
              <a:ext uri="{909E8E84-426E-40DD-AFC4-6F175D3DCCD1}">
                <a14:hiddenFill>
                  <a:solidFill>
                    <a:srgbClr val="000000" mc:Ignorable="a14" a14:legacySpreadsheetColorIndex="64"/>
                  </a:solidFill>
                </a14:hiddenFill>
              </a:ext>
              <a:ext uri="{91240B29-F687-4F45-9708-019B960494DF}">
                <a14:hiddenLine w="1">
                  <a:solidFill>
                    <a:srgbClr val="FFFFFF" mc:Ignorable="a14" a14:legacySpreadsheetColorIndex="65"/>
                  </a:solidFill>
                  <a:miter lim="800000"/>
                  <a:headEnd/>
                  <a:tailEnd/>
                </a14:hiddenLine>
              </a:ext>
            </a:extLst>
          </xdr:spPr>
        </xdr:sp>
        <xdr:clientData/>
      </xdr:twoCellAnchor>
    </mc:Choice>
    <mc:Fallback/>
  </mc:AlternateContent>
  <mc:AlternateContent xmlns:mc="http://schemas.openxmlformats.org/markup-compatibility/2006">
    <mc:Choice xmlns:a14="http://schemas.microsoft.com/office/drawing/2010/main" Requires="a14">
      <xdr:twoCellAnchor editAs="oneCell">
        <xdr:from>
          <xdr:col>2</xdr:col>
          <xdr:colOff>318052</xdr:colOff>
          <xdr:row>16</xdr:row>
          <xdr:rowOff>47708</xdr:rowOff>
        </xdr:from>
        <xdr:to>
          <xdr:col>2</xdr:col>
          <xdr:colOff>516835</xdr:colOff>
          <xdr:row>16</xdr:row>
          <xdr:rowOff>270344</xdr:rowOff>
        </xdr:to>
        <xdr:sp macro="" textlink="">
          <xdr:nvSpPr>
            <xdr:cNvPr id="4101" name="Check Box 5" hidden="1">
              <a:extLst>
                <a:ext uri="{63B3BB69-23CF-44E3-9099-C40C66FF867C}">
                  <a14:compatExt spid="_x0000_s4101"/>
                </a:ext>
                <a:ext uri="{FF2B5EF4-FFF2-40B4-BE49-F238E27FC236}">
                  <a16:creationId xmlns:a16="http://schemas.microsoft.com/office/drawing/2014/main" id="{00000000-0008-0000-0100-000005100000}"/>
                </a:ext>
              </a:extLst>
            </xdr:cNvPr>
            <xdr:cNvSpPr/>
          </xdr:nvSpPr>
          <xdr:spPr bwMode="auto">
            <a:xfrm>
              <a:off x="0" y="0"/>
              <a:ext cx="0" cy="0"/>
            </a:xfrm>
            <a:prstGeom prst="rect">
              <a:avLst/>
            </a:prstGeom>
            <a:noFill/>
            <a:ln>
              <a:noFill/>
            </a:ln>
            <a:extLst>
              <a:ext uri="{909E8E84-426E-40DD-AFC4-6F175D3DCCD1}">
                <a14:hiddenFill>
                  <a:solidFill>
                    <a:srgbClr val="000000" mc:Ignorable="a14" a14:legacySpreadsheetColorIndex="64"/>
                  </a:solidFill>
                </a14:hiddenFill>
              </a:ext>
              <a:ext uri="{91240B29-F687-4F45-9708-019B960494DF}">
                <a14:hiddenLine w="1">
                  <a:solidFill>
                    <a:srgbClr val="FFFFFF" mc:Ignorable="a14" a14:legacySpreadsheetColorIndex="65"/>
                  </a:solidFill>
                  <a:miter lim="800000"/>
                  <a:headEnd/>
                  <a:tailEnd/>
                </a14:hiddenLine>
              </a:ext>
            </a:extLst>
          </xdr:spPr>
        </xdr:sp>
        <xdr:clientData/>
      </xdr:twoCellAnchor>
    </mc:Choice>
    <mc:Fallback/>
  </mc:AlternateContent>
  <mc:AlternateContent xmlns:mc="http://schemas.openxmlformats.org/markup-compatibility/2006">
    <mc:Choice xmlns:a14="http://schemas.microsoft.com/office/drawing/2010/main" Requires="a14">
      <xdr:twoCellAnchor editAs="oneCell">
        <xdr:from>
          <xdr:col>2</xdr:col>
          <xdr:colOff>318052</xdr:colOff>
          <xdr:row>17</xdr:row>
          <xdr:rowOff>47708</xdr:rowOff>
        </xdr:from>
        <xdr:to>
          <xdr:col>2</xdr:col>
          <xdr:colOff>516835</xdr:colOff>
          <xdr:row>17</xdr:row>
          <xdr:rowOff>270344</xdr:rowOff>
        </xdr:to>
        <xdr:sp macro="" textlink="">
          <xdr:nvSpPr>
            <xdr:cNvPr id="4102" name="Check Box 6" hidden="1">
              <a:extLst>
                <a:ext uri="{63B3BB69-23CF-44E3-9099-C40C66FF867C}">
                  <a14:compatExt spid="_x0000_s4102"/>
                </a:ext>
                <a:ext uri="{FF2B5EF4-FFF2-40B4-BE49-F238E27FC236}">
                  <a16:creationId xmlns:a16="http://schemas.microsoft.com/office/drawing/2014/main" id="{00000000-0008-0000-0100-000006100000}"/>
                </a:ext>
              </a:extLst>
            </xdr:cNvPr>
            <xdr:cNvSpPr/>
          </xdr:nvSpPr>
          <xdr:spPr bwMode="auto">
            <a:xfrm>
              <a:off x="0" y="0"/>
              <a:ext cx="0" cy="0"/>
            </a:xfrm>
            <a:prstGeom prst="rect">
              <a:avLst/>
            </a:prstGeom>
            <a:noFill/>
            <a:ln>
              <a:noFill/>
            </a:ln>
            <a:extLst>
              <a:ext uri="{909E8E84-426E-40DD-AFC4-6F175D3DCCD1}">
                <a14:hiddenFill>
                  <a:solidFill>
                    <a:srgbClr val="000000" mc:Ignorable="a14" a14:legacySpreadsheetColorIndex="64"/>
                  </a:solidFill>
                </a14:hiddenFill>
              </a:ext>
              <a:ext uri="{91240B29-F687-4F45-9708-019B960494DF}">
                <a14:hiddenLine w="1">
                  <a:solidFill>
                    <a:srgbClr val="FFFFFF" mc:Ignorable="a14" a14:legacySpreadsheetColorIndex="65"/>
                  </a:solidFill>
                  <a:miter lim="800000"/>
                  <a:headEnd/>
                  <a:tailEnd/>
                </a14:hiddenLine>
              </a:ext>
            </a:extLst>
          </xdr:spPr>
        </xdr:sp>
        <xdr:clientData/>
      </xdr:twoCellAnchor>
    </mc:Choice>
    <mc:Fallback/>
  </mc:AlternateContent>
  <mc:AlternateContent xmlns:mc="http://schemas.openxmlformats.org/markup-compatibility/2006">
    <mc:Choice xmlns:a14="http://schemas.microsoft.com/office/drawing/2010/main" Requires="a14">
      <xdr:twoCellAnchor editAs="oneCell">
        <xdr:from>
          <xdr:col>2</xdr:col>
          <xdr:colOff>318052</xdr:colOff>
          <xdr:row>18</xdr:row>
          <xdr:rowOff>47708</xdr:rowOff>
        </xdr:from>
        <xdr:to>
          <xdr:col>2</xdr:col>
          <xdr:colOff>516835</xdr:colOff>
          <xdr:row>18</xdr:row>
          <xdr:rowOff>270344</xdr:rowOff>
        </xdr:to>
        <xdr:sp macro="" textlink="">
          <xdr:nvSpPr>
            <xdr:cNvPr id="4103" name="Check Box 7" hidden="1">
              <a:extLst>
                <a:ext uri="{63B3BB69-23CF-44E3-9099-C40C66FF867C}">
                  <a14:compatExt spid="_x0000_s4103"/>
                </a:ext>
                <a:ext uri="{FF2B5EF4-FFF2-40B4-BE49-F238E27FC236}">
                  <a16:creationId xmlns:a16="http://schemas.microsoft.com/office/drawing/2014/main" id="{00000000-0008-0000-0100-000007100000}"/>
                </a:ext>
              </a:extLst>
            </xdr:cNvPr>
            <xdr:cNvSpPr/>
          </xdr:nvSpPr>
          <xdr:spPr bwMode="auto">
            <a:xfrm>
              <a:off x="0" y="0"/>
              <a:ext cx="0" cy="0"/>
            </a:xfrm>
            <a:prstGeom prst="rect">
              <a:avLst/>
            </a:prstGeom>
            <a:noFill/>
            <a:ln>
              <a:noFill/>
            </a:ln>
            <a:extLst>
              <a:ext uri="{909E8E84-426E-40DD-AFC4-6F175D3DCCD1}">
                <a14:hiddenFill>
                  <a:solidFill>
                    <a:srgbClr val="000000" mc:Ignorable="a14" a14:legacySpreadsheetColorIndex="64"/>
                  </a:solidFill>
                </a14:hiddenFill>
              </a:ext>
              <a:ext uri="{91240B29-F687-4F45-9708-019B960494DF}">
                <a14:hiddenLine w="1">
                  <a:solidFill>
                    <a:srgbClr val="FFFFFF" mc:Ignorable="a14" a14:legacySpreadsheetColorIndex="65"/>
                  </a:solidFill>
                  <a:miter lim="800000"/>
                  <a:headEnd/>
                  <a:tailEnd/>
                </a14:hiddenLine>
              </a:ext>
            </a:extLst>
          </xdr:spPr>
        </xdr:sp>
        <xdr:clientData/>
      </xdr:twoCellAnchor>
    </mc:Choice>
    <mc:Fallback/>
  </mc:AlternateContent>
  <mc:AlternateContent xmlns:mc="http://schemas.openxmlformats.org/markup-compatibility/2006">
    <mc:Choice xmlns:a14="http://schemas.microsoft.com/office/drawing/2010/main" Requires="a14">
      <xdr:twoCellAnchor editAs="oneCell">
        <xdr:from>
          <xdr:col>2</xdr:col>
          <xdr:colOff>318052</xdr:colOff>
          <xdr:row>19</xdr:row>
          <xdr:rowOff>47708</xdr:rowOff>
        </xdr:from>
        <xdr:to>
          <xdr:col>2</xdr:col>
          <xdr:colOff>516835</xdr:colOff>
          <xdr:row>19</xdr:row>
          <xdr:rowOff>270344</xdr:rowOff>
        </xdr:to>
        <xdr:sp macro="" textlink="">
          <xdr:nvSpPr>
            <xdr:cNvPr id="4104" name="Check Box 8" hidden="1">
              <a:extLst>
                <a:ext uri="{63B3BB69-23CF-44E3-9099-C40C66FF867C}">
                  <a14:compatExt spid="_x0000_s4104"/>
                </a:ext>
                <a:ext uri="{FF2B5EF4-FFF2-40B4-BE49-F238E27FC236}">
                  <a16:creationId xmlns:a16="http://schemas.microsoft.com/office/drawing/2014/main" id="{00000000-0008-0000-0100-000008100000}"/>
                </a:ext>
              </a:extLst>
            </xdr:cNvPr>
            <xdr:cNvSpPr/>
          </xdr:nvSpPr>
          <xdr:spPr bwMode="auto">
            <a:xfrm>
              <a:off x="0" y="0"/>
              <a:ext cx="0" cy="0"/>
            </a:xfrm>
            <a:prstGeom prst="rect">
              <a:avLst/>
            </a:prstGeom>
            <a:noFill/>
            <a:ln>
              <a:noFill/>
            </a:ln>
            <a:extLst>
              <a:ext uri="{909E8E84-426E-40DD-AFC4-6F175D3DCCD1}">
                <a14:hiddenFill>
                  <a:solidFill>
                    <a:srgbClr val="000000" mc:Ignorable="a14" a14:legacySpreadsheetColorIndex="64"/>
                  </a:solidFill>
                </a14:hiddenFill>
              </a:ext>
              <a:ext uri="{91240B29-F687-4F45-9708-019B960494DF}">
                <a14:hiddenLine w="1">
                  <a:solidFill>
                    <a:srgbClr val="FFFFFF" mc:Ignorable="a14" a14:legacySpreadsheetColorIndex="65"/>
                  </a:solidFill>
                  <a:miter lim="800000"/>
                  <a:headEnd/>
                  <a:tailEnd/>
                </a14:hiddenLine>
              </a:ext>
            </a:extLst>
          </xdr:spPr>
        </xdr:sp>
        <xdr:clientData/>
      </xdr:twoCellAnchor>
    </mc:Choice>
    <mc:Fallback/>
  </mc:AlternateContent>
</xdr:wsDr>
</file>

<file path=xl/drawings/drawing3.xml><?xml version="1.0" encoding="utf-8"?>
<xdr:wsDr xmlns:xdr="http://schemas.openxmlformats.org/drawingml/2006/spreadsheetDrawing" xmlns:a="http://schemas.openxmlformats.org/drawingml/2006/main">
  <mc:AlternateContent xmlns:mc="http://schemas.openxmlformats.org/markup-compatibility/2006">
    <mc:Choice xmlns:a14="http://schemas.microsoft.com/office/drawing/2010/main" Requires="a14">
      <xdr:twoCellAnchor editAs="oneCell">
        <xdr:from>
          <xdr:col>2</xdr:col>
          <xdr:colOff>318052</xdr:colOff>
          <xdr:row>9</xdr:row>
          <xdr:rowOff>39757</xdr:rowOff>
        </xdr:from>
        <xdr:to>
          <xdr:col>2</xdr:col>
          <xdr:colOff>516835</xdr:colOff>
          <xdr:row>9</xdr:row>
          <xdr:rowOff>254442</xdr:rowOff>
        </xdr:to>
        <xdr:sp macro="" textlink="">
          <xdr:nvSpPr>
            <xdr:cNvPr id="3073" name="Check Box 1" hidden="1">
              <a:extLst>
                <a:ext uri="{63B3BB69-23CF-44E3-9099-C40C66FF867C}">
                  <a14:compatExt spid="_x0000_s3073"/>
                </a:ext>
                <a:ext uri="{FF2B5EF4-FFF2-40B4-BE49-F238E27FC236}">
                  <a16:creationId xmlns:a16="http://schemas.microsoft.com/office/drawing/2014/main" id="{00000000-0008-0000-0300-0000010C0000}"/>
                </a:ext>
              </a:extLst>
            </xdr:cNvPr>
            <xdr:cNvSpPr/>
          </xdr:nvSpPr>
          <xdr:spPr bwMode="auto">
            <a:xfrm>
              <a:off x="0" y="0"/>
              <a:ext cx="0" cy="0"/>
            </a:xfrm>
            <a:prstGeom prst="rect">
              <a:avLst/>
            </a:prstGeom>
            <a:noFill/>
            <a:ln>
              <a:noFill/>
            </a:ln>
            <a:extLst>
              <a:ext uri="{909E8E84-426E-40DD-AFC4-6F175D3DCCD1}">
                <a14:hiddenFill>
                  <a:solidFill>
                    <a:srgbClr val="000000" mc:Ignorable="a14" a14:legacySpreadsheetColorIndex="64"/>
                  </a:solidFill>
                </a14:hiddenFill>
              </a:ext>
              <a:ext uri="{91240B29-F687-4F45-9708-019B960494DF}">
                <a14:hiddenLine w="1">
                  <a:solidFill>
                    <a:srgbClr val="FFFFFF" mc:Ignorable="a14" a14:legacySpreadsheetColorIndex="65"/>
                  </a:solidFill>
                  <a:miter lim="800000"/>
                  <a:headEnd/>
                  <a:tailEnd/>
                </a14:hiddenLine>
              </a:ext>
            </a:extLst>
          </xdr:spPr>
        </xdr:sp>
        <xdr:clientData/>
      </xdr:twoCellAnchor>
    </mc:Choice>
    <mc:Fallback/>
  </mc:AlternateContent>
  <mc:AlternateContent xmlns:mc="http://schemas.openxmlformats.org/markup-compatibility/2006">
    <mc:Choice xmlns:a14="http://schemas.microsoft.com/office/drawing/2010/main" Requires="a14">
      <xdr:twoCellAnchor editAs="oneCell">
        <xdr:from>
          <xdr:col>2</xdr:col>
          <xdr:colOff>318052</xdr:colOff>
          <xdr:row>10</xdr:row>
          <xdr:rowOff>39757</xdr:rowOff>
        </xdr:from>
        <xdr:to>
          <xdr:col>2</xdr:col>
          <xdr:colOff>516835</xdr:colOff>
          <xdr:row>10</xdr:row>
          <xdr:rowOff>254442</xdr:rowOff>
        </xdr:to>
        <xdr:sp macro="" textlink="">
          <xdr:nvSpPr>
            <xdr:cNvPr id="3074" name="Check Box 2" hidden="1">
              <a:extLst>
                <a:ext uri="{63B3BB69-23CF-44E3-9099-C40C66FF867C}">
                  <a14:compatExt spid="_x0000_s3074"/>
                </a:ext>
                <a:ext uri="{FF2B5EF4-FFF2-40B4-BE49-F238E27FC236}">
                  <a16:creationId xmlns:a16="http://schemas.microsoft.com/office/drawing/2014/main" id="{00000000-0008-0000-0300-0000020C0000}"/>
                </a:ext>
              </a:extLst>
            </xdr:cNvPr>
            <xdr:cNvSpPr/>
          </xdr:nvSpPr>
          <xdr:spPr bwMode="auto">
            <a:xfrm>
              <a:off x="0" y="0"/>
              <a:ext cx="0" cy="0"/>
            </a:xfrm>
            <a:prstGeom prst="rect">
              <a:avLst/>
            </a:prstGeom>
            <a:noFill/>
            <a:ln>
              <a:noFill/>
            </a:ln>
            <a:extLst>
              <a:ext uri="{909E8E84-426E-40DD-AFC4-6F175D3DCCD1}">
                <a14:hiddenFill>
                  <a:solidFill>
                    <a:srgbClr val="000000" mc:Ignorable="a14" a14:legacySpreadsheetColorIndex="64"/>
                  </a:solidFill>
                </a14:hiddenFill>
              </a:ext>
              <a:ext uri="{91240B29-F687-4F45-9708-019B960494DF}">
                <a14:hiddenLine w="1">
                  <a:solidFill>
                    <a:srgbClr val="FFFFFF" mc:Ignorable="a14" a14:legacySpreadsheetColorIndex="65"/>
                  </a:solidFill>
                  <a:miter lim="800000"/>
                  <a:headEnd/>
                  <a:tailEnd/>
                </a14:hiddenLine>
              </a:ext>
            </a:extLst>
          </xdr:spPr>
        </xdr:sp>
        <xdr:clientData/>
      </xdr:twoCellAnchor>
    </mc:Choice>
    <mc:Fallback/>
  </mc:AlternateContent>
  <mc:AlternateContent xmlns:mc="http://schemas.openxmlformats.org/markup-compatibility/2006">
    <mc:Choice xmlns:a14="http://schemas.microsoft.com/office/drawing/2010/main" Requires="a14">
      <xdr:twoCellAnchor editAs="oneCell">
        <xdr:from>
          <xdr:col>2</xdr:col>
          <xdr:colOff>318052</xdr:colOff>
          <xdr:row>11</xdr:row>
          <xdr:rowOff>39757</xdr:rowOff>
        </xdr:from>
        <xdr:to>
          <xdr:col>2</xdr:col>
          <xdr:colOff>516835</xdr:colOff>
          <xdr:row>11</xdr:row>
          <xdr:rowOff>254442</xdr:rowOff>
        </xdr:to>
        <xdr:sp macro="" textlink="">
          <xdr:nvSpPr>
            <xdr:cNvPr id="3075" name="Check Box 3" hidden="1">
              <a:extLst>
                <a:ext uri="{63B3BB69-23CF-44E3-9099-C40C66FF867C}">
                  <a14:compatExt spid="_x0000_s3075"/>
                </a:ext>
                <a:ext uri="{FF2B5EF4-FFF2-40B4-BE49-F238E27FC236}">
                  <a16:creationId xmlns:a16="http://schemas.microsoft.com/office/drawing/2014/main" id="{00000000-0008-0000-0300-0000030C0000}"/>
                </a:ext>
              </a:extLst>
            </xdr:cNvPr>
            <xdr:cNvSpPr/>
          </xdr:nvSpPr>
          <xdr:spPr bwMode="auto">
            <a:xfrm>
              <a:off x="0" y="0"/>
              <a:ext cx="0" cy="0"/>
            </a:xfrm>
            <a:prstGeom prst="rect">
              <a:avLst/>
            </a:prstGeom>
            <a:noFill/>
            <a:ln>
              <a:noFill/>
            </a:ln>
            <a:extLst>
              <a:ext uri="{909E8E84-426E-40DD-AFC4-6F175D3DCCD1}">
                <a14:hiddenFill>
                  <a:solidFill>
                    <a:srgbClr val="000000" mc:Ignorable="a14" a14:legacySpreadsheetColorIndex="64"/>
                  </a:solidFill>
                </a14:hiddenFill>
              </a:ext>
              <a:ext uri="{91240B29-F687-4F45-9708-019B960494DF}">
                <a14:hiddenLine w="1">
                  <a:solidFill>
                    <a:srgbClr val="FFFFFF" mc:Ignorable="a14" a14:legacySpreadsheetColorIndex="65"/>
                  </a:solidFill>
                  <a:miter lim="800000"/>
                  <a:headEnd/>
                  <a:tailEnd/>
                </a14:hiddenLine>
              </a:ext>
            </a:extLst>
          </xdr:spPr>
        </xdr:sp>
        <xdr:clientData/>
      </xdr:twoCellAnchor>
    </mc:Choice>
    <mc:Fallback/>
  </mc:AlternateContent>
  <mc:AlternateContent xmlns:mc="http://schemas.openxmlformats.org/markup-compatibility/2006">
    <mc:Choice xmlns:a14="http://schemas.microsoft.com/office/drawing/2010/main" Requires="a14">
      <xdr:twoCellAnchor editAs="oneCell">
        <xdr:from>
          <xdr:col>2</xdr:col>
          <xdr:colOff>318052</xdr:colOff>
          <xdr:row>12</xdr:row>
          <xdr:rowOff>39757</xdr:rowOff>
        </xdr:from>
        <xdr:to>
          <xdr:col>2</xdr:col>
          <xdr:colOff>516835</xdr:colOff>
          <xdr:row>12</xdr:row>
          <xdr:rowOff>254442</xdr:rowOff>
        </xdr:to>
        <xdr:sp macro="" textlink="">
          <xdr:nvSpPr>
            <xdr:cNvPr id="3076" name="Check Box 4" hidden="1">
              <a:extLst>
                <a:ext uri="{63B3BB69-23CF-44E3-9099-C40C66FF867C}">
                  <a14:compatExt spid="_x0000_s3076"/>
                </a:ext>
                <a:ext uri="{FF2B5EF4-FFF2-40B4-BE49-F238E27FC236}">
                  <a16:creationId xmlns:a16="http://schemas.microsoft.com/office/drawing/2014/main" id="{00000000-0008-0000-0300-0000040C0000}"/>
                </a:ext>
              </a:extLst>
            </xdr:cNvPr>
            <xdr:cNvSpPr/>
          </xdr:nvSpPr>
          <xdr:spPr bwMode="auto">
            <a:xfrm>
              <a:off x="0" y="0"/>
              <a:ext cx="0" cy="0"/>
            </a:xfrm>
            <a:prstGeom prst="rect">
              <a:avLst/>
            </a:prstGeom>
            <a:noFill/>
            <a:ln>
              <a:noFill/>
            </a:ln>
            <a:extLst>
              <a:ext uri="{909E8E84-426E-40DD-AFC4-6F175D3DCCD1}">
                <a14:hiddenFill>
                  <a:solidFill>
                    <a:srgbClr val="000000" mc:Ignorable="a14" a14:legacySpreadsheetColorIndex="64"/>
                  </a:solidFill>
                </a14:hiddenFill>
              </a:ext>
              <a:ext uri="{91240B29-F687-4F45-9708-019B960494DF}">
                <a14:hiddenLine w="1">
                  <a:solidFill>
                    <a:srgbClr val="FFFFFF" mc:Ignorable="a14" a14:legacySpreadsheetColorIndex="65"/>
                  </a:solidFill>
                  <a:miter lim="800000"/>
                  <a:headEnd/>
                  <a:tailEnd/>
                </a14:hiddenLine>
              </a:ext>
            </a:extLst>
          </xdr:spPr>
        </xdr:sp>
        <xdr:clientData/>
      </xdr:twoCellAnchor>
    </mc:Choice>
    <mc:Fallback/>
  </mc:AlternateContent>
  <mc:AlternateContent xmlns:mc="http://schemas.openxmlformats.org/markup-compatibility/2006">
    <mc:Choice xmlns:a14="http://schemas.microsoft.com/office/drawing/2010/main" Requires="a14">
      <xdr:twoCellAnchor editAs="oneCell">
        <xdr:from>
          <xdr:col>2</xdr:col>
          <xdr:colOff>318052</xdr:colOff>
          <xdr:row>13</xdr:row>
          <xdr:rowOff>39757</xdr:rowOff>
        </xdr:from>
        <xdr:to>
          <xdr:col>2</xdr:col>
          <xdr:colOff>516835</xdr:colOff>
          <xdr:row>13</xdr:row>
          <xdr:rowOff>254442</xdr:rowOff>
        </xdr:to>
        <xdr:sp macro="" textlink="">
          <xdr:nvSpPr>
            <xdr:cNvPr id="3077" name="Check Box 5" hidden="1">
              <a:extLst>
                <a:ext uri="{63B3BB69-23CF-44E3-9099-C40C66FF867C}">
                  <a14:compatExt spid="_x0000_s3077"/>
                </a:ext>
                <a:ext uri="{FF2B5EF4-FFF2-40B4-BE49-F238E27FC236}">
                  <a16:creationId xmlns:a16="http://schemas.microsoft.com/office/drawing/2014/main" id="{00000000-0008-0000-0300-0000050C0000}"/>
                </a:ext>
              </a:extLst>
            </xdr:cNvPr>
            <xdr:cNvSpPr/>
          </xdr:nvSpPr>
          <xdr:spPr bwMode="auto">
            <a:xfrm>
              <a:off x="0" y="0"/>
              <a:ext cx="0" cy="0"/>
            </a:xfrm>
            <a:prstGeom prst="rect">
              <a:avLst/>
            </a:prstGeom>
            <a:noFill/>
            <a:ln>
              <a:noFill/>
            </a:ln>
            <a:extLst>
              <a:ext uri="{909E8E84-426E-40DD-AFC4-6F175D3DCCD1}">
                <a14:hiddenFill>
                  <a:solidFill>
                    <a:srgbClr val="000000" mc:Ignorable="a14" a14:legacySpreadsheetColorIndex="64"/>
                  </a:solidFill>
                </a14:hiddenFill>
              </a:ext>
              <a:ext uri="{91240B29-F687-4F45-9708-019B960494DF}">
                <a14:hiddenLine w="1">
                  <a:solidFill>
                    <a:srgbClr val="FFFFFF" mc:Ignorable="a14" a14:legacySpreadsheetColorIndex="65"/>
                  </a:solidFill>
                  <a:miter lim="800000"/>
                  <a:headEnd/>
                  <a:tailEnd/>
                </a14:hiddenLine>
              </a:ext>
            </a:extLst>
          </xdr:spPr>
        </xdr:sp>
        <xdr:clientData/>
      </xdr:twoCellAnchor>
    </mc:Choice>
    <mc:Fallback/>
  </mc:AlternateContent>
  <mc:AlternateContent xmlns:mc="http://schemas.openxmlformats.org/markup-compatibility/2006">
    <mc:Choice xmlns:a14="http://schemas.microsoft.com/office/drawing/2010/main" Requires="a14">
      <xdr:twoCellAnchor editAs="oneCell">
        <xdr:from>
          <xdr:col>2</xdr:col>
          <xdr:colOff>318052</xdr:colOff>
          <xdr:row>14</xdr:row>
          <xdr:rowOff>39757</xdr:rowOff>
        </xdr:from>
        <xdr:to>
          <xdr:col>2</xdr:col>
          <xdr:colOff>516835</xdr:colOff>
          <xdr:row>14</xdr:row>
          <xdr:rowOff>254442</xdr:rowOff>
        </xdr:to>
        <xdr:sp macro="" textlink="">
          <xdr:nvSpPr>
            <xdr:cNvPr id="3078" name="Check Box 6" hidden="1">
              <a:extLst>
                <a:ext uri="{63B3BB69-23CF-44E3-9099-C40C66FF867C}">
                  <a14:compatExt spid="_x0000_s3078"/>
                </a:ext>
                <a:ext uri="{FF2B5EF4-FFF2-40B4-BE49-F238E27FC236}">
                  <a16:creationId xmlns:a16="http://schemas.microsoft.com/office/drawing/2014/main" id="{00000000-0008-0000-0300-0000060C0000}"/>
                </a:ext>
              </a:extLst>
            </xdr:cNvPr>
            <xdr:cNvSpPr/>
          </xdr:nvSpPr>
          <xdr:spPr bwMode="auto">
            <a:xfrm>
              <a:off x="0" y="0"/>
              <a:ext cx="0" cy="0"/>
            </a:xfrm>
            <a:prstGeom prst="rect">
              <a:avLst/>
            </a:prstGeom>
            <a:noFill/>
            <a:ln>
              <a:noFill/>
            </a:ln>
            <a:extLst>
              <a:ext uri="{909E8E84-426E-40DD-AFC4-6F175D3DCCD1}">
                <a14:hiddenFill>
                  <a:solidFill>
                    <a:srgbClr val="000000" mc:Ignorable="a14" a14:legacySpreadsheetColorIndex="64"/>
                  </a:solidFill>
                </a14:hiddenFill>
              </a:ext>
              <a:ext uri="{91240B29-F687-4F45-9708-019B960494DF}">
                <a14:hiddenLine w="1">
                  <a:solidFill>
                    <a:srgbClr val="FFFFFF" mc:Ignorable="a14" a14:legacySpreadsheetColorIndex="65"/>
                  </a:solidFill>
                  <a:miter lim="800000"/>
                  <a:headEnd/>
                  <a:tailEnd/>
                </a14:hiddenLine>
              </a:ext>
            </a:extLst>
          </xdr:spPr>
        </xdr:sp>
        <xdr:clientData/>
      </xdr:twoCellAnchor>
    </mc:Choice>
    <mc:Fallback/>
  </mc:AlternateContent>
  <mc:AlternateContent xmlns:mc="http://schemas.openxmlformats.org/markup-compatibility/2006">
    <mc:Choice xmlns:a14="http://schemas.microsoft.com/office/drawing/2010/main" Requires="a14">
      <xdr:twoCellAnchor editAs="oneCell">
        <xdr:from>
          <xdr:col>2</xdr:col>
          <xdr:colOff>318052</xdr:colOff>
          <xdr:row>15</xdr:row>
          <xdr:rowOff>39757</xdr:rowOff>
        </xdr:from>
        <xdr:to>
          <xdr:col>2</xdr:col>
          <xdr:colOff>516835</xdr:colOff>
          <xdr:row>15</xdr:row>
          <xdr:rowOff>254442</xdr:rowOff>
        </xdr:to>
        <xdr:sp macro="" textlink="">
          <xdr:nvSpPr>
            <xdr:cNvPr id="3079" name="Check Box 7" hidden="1">
              <a:extLst>
                <a:ext uri="{63B3BB69-23CF-44E3-9099-C40C66FF867C}">
                  <a14:compatExt spid="_x0000_s3079"/>
                </a:ext>
                <a:ext uri="{FF2B5EF4-FFF2-40B4-BE49-F238E27FC236}">
                  <a16:creationId xmlns:a16="http://schemas.microsoft.com/office/drawing/2014/main" id="{00000000-0008-0000-0300-0000070C0000}"/>
                </a:ext>
              </a:extLst>
            </xdr:cNvPr>
            <xdr:cNvSpPr/>
          </xdr:nvSpPr>
          <xdr:spPr bwMode="auto">
            <a:xfrm>
              <a:off x="0" y="0"/>
              <a:ext cx="0" cy="0"/>
            </a:xfrm>
            <a:prstGeom prst="rect">
              <a:avLst/>
            </a:prstGeom>
            <a:noFill/>
            <a:ln>
              <a:noFill/>
            </a:ln>
            <a:extLst>
              <a:ext uri="{909E8E84-426E-40DD-AFC4-6F175D3DCCD1}">
                <a14:hiddenFill>
                  <a:solidFill>
                    <a:srgbClr val="000000" mc:Ignorable="a14" a14:legacySpreadsheetColorIndex="64"/>
                  </a:solidFill>
                </a14:hiddenFill>
              </a:ext>
              <a:ext uri="{91240B29-F687-4F45-9708-019B960494DF}">
                <a14:hiddenLine w="1">
                  <a:solidFill>
                    <a:srgbClr val="FFFFFF" mc:Ignorable="a14" a14:legacySpreadsheetColorIndex="65"/>
                  </a:solidFill>
                  <a:miter lim="800000"/>
                  <a:headEnd/>
                  <a:tailEnd/>
                </a14:hiddenLine>
              </a:ext>
            </a:extLst>
          </xdr:spPr>
        </xdr:sp>
        <xdr:clientData/>
      </xdr:twoCellAnchor>
    </mc:Choice>
    <mc:Fallback/>
  </mc:AlternateContent>
  <mc:AlternateContent xmlns:mc="http://schemas.openxmlformats.org/markup-compatibility/2006">
    <mc:Choice xmlns:a14="http://schemas.microsoft.com/office/drawing/2010/main" Requires="a14">
      <xdr:twoCellAnchor editAs="oneCell">
        <xdr:from>
          <xdr:col>2</xdr:col>
          <xdr:colOff>318052</xdr:colOff>
          <xdr:row>16</xdr:row>
          <xdr:rowOff>39757</xdr:rowOff>
        </xdr:from>
        <xdr:to>
          <xdr:col>2</xdr:col>
          <xdr:colOff>516835</xdr:colOff>
          <xdr:row>16</xdr:row>
          <xdr:rowOff>254442</xdr:rowOff>
        </xdr:to>
        <xdr:sp macro="" textlink="">
          <xdr:nvSpPr>
            <xdr:cNvPr id="3080" name="Check Box 8" hidden="1">
              <a:extLst>
                <a:ext uri="{63B3BB69-23CF-44E3-9099-C40C66FF867C}">
                  <a14:compatExt spid="_x0000_s3080"/>
                </a:ext>
                <a:ext uri="{FF2B5EF4-FFF2-40B4-BE49-F238E27FC236}">
                  <a16:creationId xmlns:a16="http://schemas.microsoft.com/office/drawing/2014/main" id="{00000000-0008-0000-0300-0000080C0000}"/>
                </a:ext>
              </a:extLst>
            </xdr:cNvPr>
            <xdr:cNvSpPr/>
          </xdr:nvSpPr>
          <xdr:spPr bwMode="auto">
            <a:xfrm>
              <a:off x="0" y="0"/>
              <a:ext cx="0" cy="0"/>
            </a:xfrm>
            <a:prstGeom prst="rect">
              <a:avLst/>
            </a:prstGeom>
            <a:noFill/>
            <a:ln>
              <a:noFill/>
            </a:ln>
            <a:extLst>
              <a:ext uri="{909E8E84-426E-40DD-AFC4-6F175D3DCCD1}">
                <a14:hiddenFill>
                  <a:solidFill>
                    <a:srgbClr val="000000" mc:Ignorable="a14" a14:legacySpreadsheetColorIndex="64"/>
                  </a:solidFill>
                </a14:hiddenFill>
              </a:ext>
              <a:ext uri="{91240B29-F687-4F45-9708-019B960494DF}">
                <a14:hiddenLine w="1">
                  <a:solidFill>
                    <a:srgbClr val="FFFFFF" mc:Ignorable="a14" a14:legacySpreadsheetColorIndex="65"/>
                  </a:solidFill>
                  <a:miter lim="800000"/>
                  <a:headEnd/>
                  <a:tailEnd/>
                </a14:hiddenLine>
              </a:ext>
            </a:extLst>
          </xdr:spPr>
        </xdr:sp>
        <xdr:clientData/>
      </xdr:twoCellAnchor>
    </mc:Choice>
    <mc:Fallback/>
  </mc:AlternateContent>
  <mc:AlternateContent xmlns:mc="http://schemas.openxmlformats.org/markup-compatibility/2006">
    <mc:Choice xmlns:a14="http://schemas.microsoft.com/office/drawing/2010/main" Requires="a14">
      <xdr:twoCellAnchor editAs="oneCell">
        <xdr:from>
          <xdr:col>2</xdr:col>
          <xdr:colOff>318052</xdr:colOff>
          <xdr:row>17</xdr:row>
          <xdr:rowOff>39757</xdr:rowOff>
        </xdr:from>
        <xdr:to>
          <xdr:col>2</xdr:col>
          <xdr:colOff>516835</xdr:colOff>
          <xdr:row>17</xdr:row>
          <xdr:rowOff>254442</xdr:rowOff>
        </xdr:to>
        <xdr:sp macro="" textlink="">
          <xdr:nvSpPr>
            <xdr:cNvPr id="3081" name="Check Box 9" hidden="1">
              <a:extLst>
                <a:ext uri="{63B3BB69-23CF-44E3-9099-C40C66FF867C}">
                  <a14:compatExt spid="_x0000_s3081"/>
                </a:ext>
                <a:ext uri="{FF2B5EF4-FFF2-40B4-BE49-F238E27FC236}">
                  <a16:creationId xmlns:a16="http://schemas.microsoft.com/office/drawing/2014/main" id="{00000000-0008-0000-0300-0000090C0000}"/>
                </a:ext>
              </a:extLst>
            </xdr:cNvPr>
            <xdr:cNvSpPr/>
          </xdr:nvSpPr>
          <xdr:spPr bwMode="auto">
            <a:xfrm>
              <a:off x="0" y="0"/>
              <a:ext cx="0" cy="0"/>
            </a:xfrm>
            <a:prstGeom prst="rect">
              <a:avLst/>
            </a:prstGeom>
            <a:noFill/>
            <a:ln>
              <a:noFill/>
            </a:ln>
            <a:extLst>
              <a:ext uri="{909E8E84-426E-40DD-AFC4-6F175D3DCCD1}">
                <a14:hiddenFill>
                  <a:solidFill>
                    <a:srgbClr val="000000" mc:Ignorable="a14" a14:legacySpreadsheetColorIndex="64"/>
                  </a:solidFill>
                </a14:hiddenFill>
              </a:ext>
              <a:ext uri="{91240B29-F687-4F45-9708-019B960494DF}">
                <a14:hiddenLine w="1">
                  <a:solidFill>
                    <a:srgbClr val="FFFFFF" mc:Ignorable="a14" a14:legacySpreadsheetColorIndex="65"/>
                  </a:solidFill>
                  <a:miter lim="800000"/>
                  <a:headEnd/>
                  <a:tailEnd/>
                </a14:hiddenLine>
              </a:ext>
            </a:extLst>
          </xdr:spPr>
        </xdr:sp>
        <xdr:clientData/>
      </xdr:twoCellAnchor>
    </mc:Choice>
    <mc:Fallback/>
  </mc:AlternateContent>
  <mc:AlternateContent xmlns:mc="http://schemas.openxmlformats.org/markup-compatibility/2006">
    <mc:Choice xmlns:a14="http://schemas.microsoft.com/office/drawing/2010/main" Requires="a14">
      <xdr:twoCellAnchor editAs="oneCell">
        <xdr:from>
          <xdr:col>2</xdr:col>
          <xdr:colOff>318052</xdr:colOff>
          <xdr:row>18</xdr:row>
          <xdr:rowOff>39757</xdr:rowOff>
        </xdr:from>
        <xdr:to>
          <xdr:col>2</xdr:col>
          <xdr:colOff>516835</xdr:colOff>
          <xdr:row>18</xdr:row>
          <xdr:rowOff>254442</xdr:rowOff>
        </xdr:to>
        <xdr:sp macro="" textlink="">
          <xdr:nvSpPr>
            <xdr:cNvPr id="3082" name="Check Box 10" hidden="1">
              <a:extLst>
                <a:ext uri="{63B3BB69-23CF-44E3-9099-C40C66FF867C}">
                  <a14:compatExt spid="_x0000_s3082"/>
                </a:ext>
                <a:ext uri="{FF2B5EF4-FFF2-40B4-BE49-F238E27FC236}">
                  <a16:creationId xmlns:a16="http://schemas.microsoft.com/office/drawing/2014/main" id="{00000000-0008-0000-0300-00000A0C0000}"/>
                </a:ext>
              </a:extLst>
            </xdr:cNvPr>
            <xdr:cNvSpPr/>
          </xdr:nvSpPr>
          <xdr:spPr bwMode="auto">
            <a:xfrm>
              <a:off x="0" y="0"/>
              <a:ext cx="0" cy="0"/>
            </a:xfrm>
            <a:prstGeom prst="rect">
              <a:avLst/>
            </a:prstGeom>
            <a:noFill/>
            <a:ln>
              <a:noFill/>
            </a:ln>
            <a:extLst>
              <a:ext uri="{909E8E84-426E-40DD-AFC4-6F175D3DCCD1}">
                <a14:hiddenFill>
                  <a:solidFill>
                    <a:srgbClr val="000000" mc:Ignorable="a14" a14:legacySpreadsheetColorIndex="64"/>
                  </a:solidFill>
                </a14:hiddenFill>
              </a:ext>
              <a:ext uri="{91240B29-F687-4F45-9708-019B960494DF}">
                <a14:hiddenLine w="1">
                  <a:solidFill>
                    <a:srgbClr val="FFFFFF" mc:Ignorable="a14" a14:legacySpreadsheetColorIndex="65"/>
                  </a:solidFill>
                  <a:miter lim="800000"/>
                  <a:headEnd/>
                  <a:tailEnd/>
                </a14:hiddenLine>
              </a:ext>
            </a:extLst>
          </xdr:spPr>
        </xdr:sp>
        <xdr:clientData/>
      </xdr:twoCellAnchor>
    </mc:Choice>
    <mc:Fallback/>
  </mc:AlternateContent>
  <mc:AlternateContent xmlns:mc="http://schemas.openxmlformats.org/markup-compatibility/2006">
    <mc:Choice xmlns:a14="http://schemas.microsoft.com/office/drawing/2010/main" Requires="a14">
      <xdr:twoCellAnchor editAs="oneCell">
        <xdr:from>
          <xdr:col>2</xdr:col>
          <xdr:colOff>318052</xdr:colOff>
          <xdr:row>19</xdr:row>
          <xdr:rowOff>39757</xdr:rowOff>
        </xdr:from>
        <xdr:to>
          <xdr:col>2</xdr:col>
          <xdr:colOff>516835</xdr:colOff>
          <xdr:row>19</xdr:row>
          <xdr:rowOff>254442</xdr:rowOff>
        </xdr:to>
        <xdr:sp macro="" textlink="">
          <xdr:nvSpPr>
            <xdr:cNvPr id="3083" name="Check Box 11" hidden="1">
              <a:extLst>
                <a:ext uri="{63B3BB69-23CF-44E3-9099-C40C66FF867C}">
                  <a14:compatExt spid="_x0000_s3083"/>
                </a:ext>
                <a:ext uri="{FF2B5EF4-FFF2-40B4-BE49-F238E27FC236}">
                  <a16:creationId xmlns:a16="http://schemas.microsoft.com/office/drawing/2014/main" id="{00000000-0008-0000-0300-00000B0C0000}"/>
                </a:ext>
              </a:extLst>
            </xdr:cNvPr>
            <xdr:cNvSpPr/>
          </xdr:nvSpPr>
          <xdr:spPr bwMode="auto">
            <a:xfrm>
              <a:off x="0" y="0"/>
              <a:ext cx="0" cy="0"/>
            </a:xfrm>
            <a:prstGeom prst="rect">
              <a:avLst/>
            </a:prstGeom>
            <a:noFill/>
            <a:ln>
              <a:noFill/>
            </a:ln>
            <a:extLst>
              <a:ext uri="{909E8E84-426E-40DD-AFC4-6F175D3DCCD1}">
                <a14:hiddenFill>
                  <a:solidFill>
                    <a:srgbClr val="000000" mc:Ignorable="a14" a14:legacySpreadsheetColorIndex="64"/>
                  </a:solidFill>
                </a14:hiddenFill>
              </a:ext>
              <a:ext uri="{91240B29-F687-4F45-9708-019B960494DF}">
                <a14:hiddenLine w="1">
                  <a:solidFill>
                    <a:srgbClr val="FFFFFF" mc:Ignorable="a14" a14:legacySpreadsheetColorIndex="65"/>
                  </a:solidFill>
                  <a:miter lim="800000"/>
                  <a:headEnd/>
                  <a:tailEnd/>
                </a14:hiddenLine>
              </a:ext>
            </a:extLst>
          </xdr:spPr>
        </xdr:sp>
        <xdr:clientData/>
      </xdr:twoCellAnchor>
    </mc:Choice>
    <mc:Fallback/>
  </mc:AlternateContent>
  <mc:AlternateContent xmlns:mc="http://schemas.openxmlformats.org/markup-compatibility/2006">
    <mc:Choice xmlns:a14="http://schemas.microsoft.com/office/drawing/2010/main" Requires="a14">
      <xdr:twoCellAnchor editAs="oneCell">
        <xdr:from>
          <xdr:col>2</xdr:col>
          <xdr:colOff>318052</xdr:colOff>
          <xdr:row>20</xdr:row>
          <xdr:rowOff>39757</xdr:rowOff>
        </xdr:from>
        <xdr:to>
          <xdr:col>2</xdr:col>
          <xdr:colOff>516835</xdr:colOff>
          <xdr:row>20</xdr:row>
          <xdr:rowOff>254442</xdr:rowOff>
        </xdr:to>
        <xdr:sp macro="" textlink="">
          <xdr:nvSpPr>
            <xdr:cNvPr id="3084" name="Check Box 12" hidden="1">
              <a:extLst>
                <a:ext uri="{63B3BB69-23CF-44E3-9099-C40C66FF867C}">
                  <a14:compatExt spid="_x0000_s3084"/>
                </a:ext>
                <a:ext uri="{FF2B5EF4-FFF2-40B4-BE49-F238E27FC236}">
                  <a16:creationId xmlns:a16="http://schemas.microsoft.com/office/drawing/2014/main" id="{00000000-0008-0000-0300-00000C0C0000}"/>
                </a:ext>
              </a:extLst>
            </xdr:cNvPr>
            <xdr:cNvSpPr/>
          </xdr:nvSpPr>
          <xdr:spPr bwMode="auto">
            <a:xfrm>
              <a:off x="0" y="0"/>
              <a:ext cx="0" cy="0"/>
            </a:xfrm>
            <a:prstGeom prst="rect">
              <a:avLst/>
            </a:prstGeom>
            <a:noFill/>
            <a:ln>
              <a:noFill/>
            </a:ln>
            <a:extLst>
              <a:ext uri="{909E8E84-426E-40DD-AFC4-6F175D3DCCD1}">
                <a14:hiddenFill>
                  <a:solidFill>
                    <a:srgbClr val="000000" mc:Ignorable="a14" a14:legacySpreadsheetColorIndex="64"/>
                  </a:solidFill>
                </a14:hiddenFill>
              </a:ext>
              <a:ext uri="{91240B29-F687-4F45-9708-019B960494DF}">
                <a14:hiddenLine w="1">
                  <a:solidFill>
                    <a:srgbClr val="FFFFFF" mc:Ignorable="a14" a14:legacySpreadsheetColorIndex="65"/>
                  </a:solidFill>
                  <a:miter lim="800000"/>
                  <a:headEnd/>
                  <a:tailEnd/>
                </a14:hiddenLine>
              </a:ext>
            </a:extLst>
          </xdr:spPr>
        </xdr:sp>
        <xdr:clientData/>
      </xdr:twoCellAnchor>
    </mc:Choice>
    <mc:Fallback/>
  </mc:AlternateContent>
</xdr:wsDr>
</file>

<file path=xl/drawings/drawing4.xml><?xml version="1.0" encoding="utf-8"?>
<xdr:wsDr xmlns:xdr="http://schemas.openxmlformats.org/drawingml/2006/spreadsheetDrawing" xmlns:a="http://schemas.openxmlformats.org/drawingml/2006/main">
  <mc:AlternateContent xmlns:mc="http://schemas.openxmlformats.org/markup-compatibility/2006">
    <mc:Choice xmlns:a14="http://schemas.microsoft.com/office/drawing/2010/main" Requires="a14">
      <xdr:twoCellAnchor editAs="oneCell">
        <xdr:from>
          <xdr:col>1</xdr:col>
          <xdr:colOff>667910</xdr:colOff>
          <xdr:row>7</xdr:row>
          <xdr:rowOff>39757</xdr:rowOff>
        </xdr:from>
        <xdr:to>
          <xdr:col>1</xdr:col>
          <xdr:colOff>866692</xdr:colOff>
          <xdr:row>7</xdr:row>
          <xdr:rowOff>254442</xdr:rowOff>
        </xdr:to>
        <xdr:sp macro="" textlink="">
          <xdr:nvSpPr>
            <xdr:cNvPr id="2049" name="Check Box 1" hidden="1">
              <a:extLst>
                <a:ext uri="{63B3BB69-23CF-44E3-9099-C40C66FF867C}">
                  <a14:compatExt spid="_x0000_s2049"/>
                </a:ext>
                <a:ext uri="{FF2B5EF4-FFF2-40B4-BE49-F238E27FC236}">
                  <a16:creationId xmlns:a16="http://schemas.microsoft.com/office/drawing/2014/main" id="{00000000-0008-0000-0700-000001080000}"/>
                </a:ext>
              </a:extLst>
            </xdr:cNvPr>
            <xdr:cNvSpPr/>
          </xdr:nvSpPr>
          <xdr:spPr bwMode="auto">
            <a:xfrm>
              <a:off x="0" y="0"/>
              <a:ext cx="0" cy="0"/>
            </a:xfrm>
            <a:prstGeom prst="rect">
              <a:avLst/>
            </a:prstGeom>
            <a:noFill/>
            <a:ln>
              <a:noFill/>
            </a:ln>
            <a:extLst>
              <a:ext uri="{909E8E84-426E-40DD-AFC4-6F175D3DCCD1}">
                <a14:hiddenFill>
                  <a:solidFill>
                    <a:srgbClr val="000000" mc:Ignorable="a14" a14:legacySpreadsheetColorIndex="64"/>
                  </a:solidFill>
                </a14:hiddenFill>
              </a:ext>
              <a:ext uri="{91240B29-F687-4F45-9708-019B960494DF}">
                <a14:hiddenLine w="1">
                  <a:solidFill>
                    <a:srgbClr val="FFFFFF" mc:Ignorable="a14" a14:legacySpreadsheetColorIndex="65"/>
                  </a:solidFill>
                  <a:miter lim="800000"/>
                  <a:headEnd/>
                  <a:tailEnd/>
                </a14:hiddenLine>
              </a:ext>
            </a:extLst>
          </xdr:spPr>
        </xdr:sp>
        <xdr:clientData/>
      </xdr:twoCellAnchor>
    </mc:Choice>
    <mc:Fallback/>
  </mc:AlternateContent>
  <mc:AlternateContent xmlns:mc="http://schemas.openxmlformats.org/markup-compatibility/2006">
    <mc:Choice xmlns:a14="http://schemas.microsoft.com/office/drawing/2010/main" Requires="a14">
      <xdr:twoCellAnchor editAs="oneCell">
        <xdr:from>
          <xdr:col>1</xdr:col>
          <xdr:colOff>667910</xdr:colOff>
          <xdr:row>8</xdr:row>
          <xdr:rowOff>39757</xdr:rowOff>
        </xdr:from>
        <xdr:to>
          <xdr:col>1</xdr:col>
          <xdr:colOff>866692</xdr:colOff>
          <xdr:row>8</xdr:row>
          <xdr:rowOff>254442</xdr:rowOff>
        </xdr:to>
        <xdr:sp macro="" textlink="">
          <xdr:nvSpPr>
            <xdr:cNvPr id="2050" name="Check Box 2" hidden="1">
              <a:extLst>
                <a:ext uri="{63B3BB69-23CF-44E3-9099-C40C66FF867C}">
                  <a14:compatExt spid="_x0000_s2050"/>
                </a:ext>
                <a:ext uri="{FF2B5EF4-FFF2-40B4-BE49-F238E27FC236}">
                  <a16:creationId xmlns:a16="http://schemas.microsoft.com/office/drawing/2014/main" id="{00000000-0008-0000-0700-000002080000}"/>
                </a:ext>
              </a:extLst>
            </xdr:cNvPr>
            <xdr:cNvSpPr/>
          </xdr:nvSpPr>
          <xdr:spPr bwMode="auto">
            <a:xfrm>
              <a:off x="0" y="0"/>
              <a:ext cx="0" cy="0"/>
            </a:xfrm>
            <a:prstGeom prst="rect">
              <a:avLst/>
            </a:prstGeom>
            <a:noFill/>
            <a:ln>
              <a:noFill/>
            </a:ln>
            <a:extLst>
              <a:ext uri="{909E8E84-426E-40DD-AFC4-6F175D3DCCD1}">
                <a14:hiddenFill>
                  <a:solidFill>
                    <a:srgbClr val="000000" mc:Ignorable="a14" a14:legacySpreadsheetColorIndex="64"/>
                  </a:solidFill>
                </a14:hiddenFill>
              </a:ext>
              <a:ext uri="{91240B29-F687-4F45-9708-019B960494DF}">
                <a14:hiddenLine w="1">
                  <a:solidFill>
                    <a:srgbClr val="FFFFFF" mc:Ignorable="a14" a14:legacySpreadsheetColorIndex="65"/>
                  </a:solidFill>
                  <a:miter lim="800000"/>
                  <a:headEnd/>
                  <a:tailEnd/>
                </a14:hiddenLine>
              </a:ext>
            </a:extLst>
          </xdr:spPr>
        </xdr:sp>
        <xdr:clientData/>
      </xdr:twoCellAnchor>
    </mc:Choice>
    <mc:Fallback/>
  </mc:AlternateContent>
  <mc:AlternateContent xmlns:mc="http://schemas.openxmlformats.org/markup-compatibility/2006">
    <mc:Choice xmlns:a14="http://schemas.microsoft.com/office/drawing/2010/main" Requires="a14">
      <xdr:twoCellAnchor editAs="oneCell">
        <xdr:from>
          <xdr:col>1</xdr:col>
          <xdr:colOff>667910</xdr:colOff>
          <xdr:row>9</xdr:row>
          <xdr:rowOff>39757</xdr:rowOff>
        </xdr:from>
        <xdr:to>
          <xdr:col>1</xdr:col>
          <xdr:colOff>866692</xdr:colOff>
          <xdr:row>9</xdr:row>
          <xdr:rowOff>254442</xdr:rowOff>
        </xdr:to>
        <xdr:sp macro="" textlink="">
          <xdr:nvSpPr>
            <xdr:cNvPr id="2051" name="Check Box 3" hidden="1">
              <a:extLst>
                <a:ext uri="{63B3BB69-23CF-44E3-9099-C40C66FF867C}">
                  <a14:compatExt spid="_x0000_s2051"/>
                </a:ext>
                <a:ext uri="{FF2B5EF4-FFF2-40B4-BE49-F238E27FC236}">
                  <a16:creationId xmlns:a16="http://schemas.microsoft.com/office/drawing/2014/main" id="{00000000-0008-0000-0700-000003080000}"/>
                </a:ext>
              </a:extLst>
            </xdr:cNvPr>
            <xdr:cNvSpPr/>
          </xdr:nvSpPr>
          <xdr:spPr bwMode="auto">
            <a:xfrm>
              <a:off x="0" y="0"/>
              <a:ext cx="0" cy="0"/>
            </a:xfrm>
            <a:prstGeom prst="rect">
              <a:avLst/>
            </a:prstGeom>
            <a:noFill/>
            <a:ln>
              <a:noFill/>
            </a:ln>
            <a:extLst>
              <a:ext uri="{909E8E84-426E-40DD-AFC4-6F175D3DCCD1}">
                <a14:hiddenFill>
                  <a:solidFill>
                    <a:srgbClr val="000000" mc:Ignorable="a14" a14:legacySpreadsheetColorIndex="64"/>
                  </a:solidFill>
                </a14:hiddenFill>
              </a:ext>
              <a:ext uri="{91240B29-F687-4F45-9708-019B960494DF}">
                <a14:hiddenLine w="1">
                  <a:solidFill>
                    <a:srgbClr val="FFFFFF" mc:Ignorable="a14" a14:legacySpreadsheetColorIndex="65"/>
                  </a:solidFill>
                  <a:miter lim="800000"/>
                  <a:headEnd/>
                  <a:tailEnd/>
                </a14:hiddenLine>
              </a:ext>
            </a:extLst>
          </xdr:spPr>
        </xdr:sp>
        <xdr:clientData/>
      </xdr:twoCellAnchor>
    </mc:Choice>
    <mc:Fallback/>
  </mc:AlternateContent>
  <mc:AlternateContent xmlns:mc="http://schemas.openxmlformats.org/markup-compatibility/2006">
    <mc:Choice xmlns:a14="http://schemas.microsoft.com/office/drawing/2010/main" Requires="a14">
      <xdr:twoCellAnchor editAs="oneCell">
        <xdr:from>
          <xdr:col>1</xdr:col>
          <xdr:colOff>667910</xdr:colOff>
          <xdr:row>10</xdr:row>
          <xdr:rowOff>39757</xdr:rowOff>
        </xdr:from>
        <xdr:to>
          <xdr:col>1</xdr:col>
          <xdr:colOff>866692</xdr:colOff>
          <xdr:row>10</xdr:row>
          <xdr:rowOff>254442</xdr:rowOff>
        </xdr:to>
        <xdr:sp macro="" textlink="">
          <xdr:nvSpPr>
            <xdr:cNvPr id="2052" name="Check Box 4" hidden="1">
              <a:extLst>
                <a:ext uri="{63B3BB69-23CF-44E3-9099-C40C66FF867C}">
                  <a14:compatExt spid="_x0000_s2052"/>
                </a:ext>
                <a:ext uri="{FF2B5EF4-FFF2-40B4-BE49-F238E27FC236}">
                  <a16:creationId xmlns:a16="http://schemas.microsoft.com/office/drawing/2014/main" id="{00000000-0008-0000-0700-000004080000}"/>
                </a:ext>
              </a:extLst>
            </xdr:cNvPr>
            <xdr:cNvSpPr/>
          </xdr:nvSpPr>
          <xdr:spPr bwMode="auto">
            <a:xfrm>
              <a:off x="0" y="0"/>
              <a:ext cx="0" cy="0"/>
            </a:xfrm>
            <a:prstGeom prst="rect">
              <a:avLst/>
            </a:prstGeom>
            <a:noFill/>
            <a:ln>
              <a:noFill/>
            </a:ln>
            <a:extLst>
              <a:ext uri="{909E8E84-426E-40DD-AFC4-6F175D3DCCD1}">
                <a14:hiddenFill>
                  <a:solidFill>
                    <a:srgbClr val="000000" mc:Ignorable="a14" a14:legacySpreadsheetColorIndex="64"/>
                  </a:solidFill>
                </a14:hiddenFill>
              </a:ext>
              <a:ext uri="{91240B29-F687-4F45-9708-019B960494DF}">
                <a14:hiddenLine w="1">
                  <a:solidFill>
                    <a:srgbClr val="FFFFFF" mc:Ignorable="a14" a14:legacySpreadsheetColorIndex="65"/>
                  </a:solidFill>
                  <a:miter lim="800000"/>
                  <a:headEnd/>
                  <a:tailEnd/>
                </a14:hiddenLine>
              </a:ext>
            </a:extLst>
          </xdr:spPr>
        </xdr:sp>
        <xdr:clientData/>
      </xdr:twoCellAnchor>
    </mc:Choice>
    <mc:Fallback/>
  </mc:AlternateContent>
  <mc:AlternateContent xmlns:mc="http://schemas.openxmlformats.org/markup-compatibility/2006">
    <mc:Choice xmlns:a14="http://schemas.microsoft.com/office/drawing/2010/main" Requires="a14">
      <xdr:twoCellAnchor editAs="oneCell">
        <xdr:from>
          <xdr:col>1</xdr:col>
          <xdr:colOff>667910</xdr:colOff>
          <xdr:row>11</xdr:row>
          <xdr:rowOff>39757</xdr:rowOff>
        </xdr:from>
        <xdr:to>
          <xdr:col>1</xdr:col>
          <xdr:colOff>866692</xdr:colOff>
          <xdr:row>11</xdr:row>
          <xdr:rowOff>254442</xdr:rowOff>
        </xdr:to>
        <xdr:sp macro="" textlink="">
          <xdr:nvSpPr>
            <xdr:cNvPr id="2053" name="Check Box 5" hidden="1">
              <a:extLst>
                <a:ext uri="{63B3BB69-23CF-44E3-9099-C40C66FF867C}">
                  <a14:compatExt spid="_x0000_s2053"/>
                </a:ext>
                <a:ext uri="{FF2B5EF4-FFF2-40B4-BE49-F238E27FC236}">
                  <a16:creationId xmlns:a16="http://schemas.microsoft.com/office/drawing/2014/main" id="{00000000-0008-0000-0700-000005080000}"/>
                </a:ext>
              </a:extLst>
            </xdr:cNvPr>
            <xdr:cNvSpPr/>
          </xdr:nvSpPr>
          <xdr:spPr bwMode="auto">
            <a:xfrm>
              <a:off x="0" y="0"/>
              <a:ext cx="0" cy="0"/>
            </a:xfrm>
            <a:prstGeom prst="rect">
              <a:avLst/>
            </a:prstGeom>
            <a:noFill/>
            <a:ln>
              <a:noFill/>
            </a:ln>
            <a:extLst>
              <a:ext uri="{909E8E84-426E-40DD-AFC4-6F175D3DCCD1}">
                <a14:hiddenFill>
                  <a:solidFill>
                    <a:srgbClr val="000000" mc:Ignorable="a14" a14:legacySpreadsheetColorIndex="64"/>
                  </a:solidFill>
                </a14:hiddenFill>
              </a:ext>
              <a:ext uri="{91240B29-F687-4F45-9708-019B960494DF}">
                <a14:hiddenLine w="1">
                  <a:solidFill>
                    <a:srgbClr val="FFFFFF" mc:Ignorable="a14" a14:legacySpreadsheetColorIndex="65"/>
                  </a:solidFill>
                  <a:miter lim="800000"/>
                  <a:headEnd/>
                  <a:tailEnd/>
                </a14:hiddenLine>
              </a:ext>
            </a:extLst>
          </xdr:spPr>
        </xdr:sp>
        <xdr:clientData/>
      </xdr:twoCellAnchor>
    </mc:Choice>
    <mc:Fallback/>
  </mc:AlternateContent>
  <mc:AlternateContent xmlns:mc="http://schemas.openxmlformats.org/markup-compatibility/2006">
    <mc:Choice xmlns:a14="http://schemas.microsoft.com/office/drawing/2010/main" Requires="a14">
      <xdr:twoCellAnchor editAs="oneCell">
        <xdr:from>
          <xdr:col>2</xdr:col>
          <xdr:colOff>667910</xdr:colOff>
          <xdr:row>7</xdr:row>
          <xdr:rowOff>39757</xdr:rowOff>
        </xdr:from>
        <xdr:to>
          <xdr:col>2</xdr:col>
          <xdr:colOff>866692</xdr:colOff>
          <xdr:row>7</xdr:row>
          <xdr:rowOff>254442</xdr:rowOff>
        </xdr:to>
        <xdr:sp macro="" textlink="">
          <xdr:nvSpPr>
            <xdr:cNvPr id="2054" name="Check Box 6" hidden="1">
              <a:extLst>
                <a:ext uri="{63B3BB69-23CF-44E3-9099-C40C66FF867C}">
                  <a14:compatExt spid="_x0000_s2054"/>
                </a:ext>
                <a:ext uri="{FF2B5EF4-FFF2-40B4-BE49-F238E27FC236}">
                  <a16:creationId xmlns:a16="http://schemas.microsoft.com/office/drawing/2014/main" id="{00000000-0008-0000-0700-000006080000}"/>
                </a:ext>
              </a:extLst>
            </xdr:cNvPr>
            <xdr:cNvSpPr/>
          </xdr:nvSpPr>
          <xdr:spPr bwMode="auto">
            <a:xfrm>
              <a:off x="0" y="0"/>
              <a:ext cx="0" cy="0"/>
            </a:xfrm>
            <a:prstGeom prst="rect">
              <a:avLst/>
            </a:prstGeom>
            <a:noFill/>
            <a:ln>
              <a:noFill/>
            </a:ln>
            <a:extLst>
              <a:ext uri="{909E8E84-426E-40DD-AFC4-6F175D3DCCD1}">
                <a14:hiddenFill>
                  <a:solidFill>
                    <a:srgbClr val="000000" mc:Ignorable="a14" a14:legacySpreadsheetColorIndex="64"/>
                  </a:solidFill>
                </a14:hiddenFill>
              </a:ext>
              <a:ext uri="{91240B29-F687-4F45-9708-019B960494DF}">
                <a14:hiddenLine w="1">
                  <a:solidFill>
                    <a:srgbClr val="FFFFFF" mc:Ignorable="a14" a14:legacySpreadsheetColorIndex="65"/>
                  </a:solidFill>
                  <a:miter lim="800000"/>
                  <a:headEnd/>
                  <a:tailEnd/>
                </a14:hiddenLine>
              </a:ext>
            </a:extLst>
          </xdr:spPr>
        </xdr:sp>
        <xdr:clientData/>
      </xdr:twoCellAnchor>
    </mc:Choice>
    <mc:Fallback/>
  </mc:AlternateContent>
  <mc:AlternateContent xmlns:mc="http://schemas.openxmlformats.org/markup-compatibility/2006">
    <mc:Choice xmlns:a14="http://schemas.microsoft.com/office/drawing/2010/main" Requires="a14">
      <xdr:twoCellAnchor editAs="oneCell">
        <xdr:from>
          <xdr:col>2</xdr:col>
          <xdr:colOff>667910</xdr:colOff>
          <xdr:row>8</xdr:row>
          <xdr:rowOff>39757</xdr:rowOff>
        </xdr:from>
        <xdr:to>
          <xdr:col>2</xdr:col>
          <xdr:colOff>866692</xdr:colOff>
          <xdr:row>8</xdr:row>
          <xdr:rowOff>254442</xdr:rowOff>
        </xdr:to>
        <xdr:sp macro="" textlink="">
          <xdr:nvSpPr>
            <xdr:cNvPr id="2055" name="Check Box 7" hidden="1">
              <a:extLst>
                <a:ext uri="{63B3BB69-23CF-44E3-9099-C40C66FF867C}">
                  <a14:compatExt spid="_x0000_s2055"/>
                </a:ext>
                <a:ext uri="{FF2B5EF4-FFF2-40B4-BE49-F238E27FC236}">
                  <a16:creationId xmlns:a16="http://schemas.microsoft.com/office/drawing/2014/main" id="{00000000-0008-0000-0700-000007080000}"/>
                </a:ext>
              </a:extLst>
            </xdr:cNvPr>
            <xdr:cNvSpPr/>
          </xdr:nvSpPr>
          <xdr:spPr bwMode="auto">
            <a:xfrm>
              <a:off x="0" y="0"/>
              <a:ext cx="0" cy="0"/>
            </a:xfrm>
            <a:prstGeom prst="rect">
              <a:avLst/>
            </a:prstGeom>
            <a:noFill/>
            <a:ln>
              <a:noFill/>
            </a:ln>
            <a:extLst>
              <a:ext uri="{909E8E84-426E-40DD-AFC4-6F175D3DCCD1}">
                <a14:hiddenFill>
                  <a:solidFill>
                    <a:srgbClr val="000000" mc:Ignorable="a14" a14:legacySpreadsheetColorIndex="64"/>
                  </a:solidFill>
                </a14:hiddenFill>
              </a:ext>
              <a:ext uri="{91240B29-F687-4F45-9708-019B960494DF}">
                <a14:hiddenLine w="1">
                  <a:solidFill>
                    <a:srgbClr val="FFFFFF" mc:Ignorable="a14" a14:legacySpreadsheetColorIndex="65"/>
                  </a:solidFill>
                  <a:miter lim="800000"/>
                  <a:headEnd/>
                  <a:tailEnd/>
                </a14:hiddenLine>
              </a:ext>
            </a:extLst>
          </xdr:spPr>
        </xdr:sp>
        <xdr:clientData/>
      </xdr:twoCellAnchor>
    </mc:Choice>
    <mc:Fallback/>
  </mc:AlternateContent>
  <mc:AlternateContent xmlns:mc="http://schemas.openxmlformats.org/markup-compatibility/2006">
    <mc:Choice xmlns:a14="http://schemas.microsoft.com/office/drawing/2010/main" Requires="a14">
      <xdr:twoCellAnchor editAs="oneCell">
        <xdr:from>
          <xdr:col>2</xdr:col>
          <xdr:colOff>667910</xdr:colOff>
          <xdr:row>9</xdr:row>
          <xdr:rowOff>39757</xdr:rowOff>
        </xdr:from>
        <xdr:to>
          <xdr:col>2</xdr:col>
          <xdr:colOff>866692</xdr:colOff>
          <xdr:row>9</xdr:row>
          <xdr:rowOff>254442</xdr:rowOff>
        </xdr:to>
        <xdr:sp macro="" textlink="">
          <xdr:nvSpPr>
            <xdr:cNvPr id="2056" name="Check Box 8" hidden="1">
              <a:extLst>
                <a:ext uri="{63B3BB69-23CF-44E3-9099-C40C66FF867C}">
                  <a14:compatExt spid="_x0000_s2056"/>
                </a:ext>
                <a:ext uri="{FF2B5EF4-FFF2-40B4-BE49-F238E27FC236}">
                  <a16:creationId xmlns:a16="http://schemas.microsoft.com/office/drawing/2014/main" id="{00000000-0008-0000-0700-000008080000}"/>
                </a:ext>
              </a:extLst>
            </xdr:cNvPr>
            <xdr:cNvSpPr/>
          </xdr:nvSpPr>
          <xdr:spPr bwMode="auto">
            <a:xfrm>
              <a:off x="0" y="0"/>
              <a:ext cx="0" cy="0"/>
            </a:xfrm>
            <a:prstGeom prst="rect">
              <a:avLst/>
            </a:prstGeom>
            <a:noFill/>
            <a:ln>
              <a:noFill/>
            </a:ln>
            <a:extLst>
              <a:ext uri="{909E8E84-426E-40DD-AFC4-6F175D3DCCD1}">
                <a14:hiddenFill>
                  <a:solidFill>
                    <a:srgbClr val="000000" mc:Ignorable="a14" a14:legacySpreadsheetColorIndex="64"/>
                  </a:solidFill>
                </a14:hiddenFill>
              </a:ext>
              <a:ext uri="{91240B29-F687-4F45-9708-019B960494DF}">
                <a14:hiddenLine w="1">
                  <a:solidFill>
                    <a:srgbClr val="FFFFFF" mc:Ignorable="a14" a14:legacySpreadsheetColorIndex="65"/>
                  </a:solidFill>
                  <a:miter lim="800000"/>
                  <a:headEnd/>
                  <a:tailEnd/>
                </a14:hiddenLine>
              </a:ext>
            </a:extLst>
          </xdr:spPr>
        </xdr:sp>
        <xdr:clientData/>
      </xdr:twoCellAnchor>
    </mc:Choice>
    <mc:Fallback/>
  </mc:AlternateContent>
  <mc:AlternateContent xmlns:mc="http://schemas.openxmlformats.org/markup-compatibility/2006">
    <mc:Choice xmlns:a14="http://schemas.microsoft.com/office/drawing/2010/main" Requires="a14">
      <xdr:twoCellAnchor editAs="oneCell">
        <xdr:from>
          <xdr:col>2</xdr:col>
          <xdr:colOff>667910</xdr:colOff>
          <xdr:row>10</xdr:row>
          <xdr:rowOff>39757</xdr:rowOff>
        </xdr:from>
        <xdr:to>
          <xdr:col>2</xdr:col>
          <xdr:colOff>866692</xdr:colOff>
          <xdr:row>10</xdr:row>
          <xdr:rowOff>254442</xdr:rowOff>
        </xdr:to>
        <xdr:sp macro="" textlink="">
          <xdr:nvSpPr>
            <xdr:cNvPr id="2057" name="Check Box 9" hidden="1">
              <a:extLst>
                <a:ext uri="{63B3BB69-23CF-44E3-9099-C40C66FF867C}">
                  <a14:compatExt spid="_x0000_s2057"/>
                </a:ext>
                <a:ext uri="{FF2B5EF4-FFF2-40B4-BE49-F238E27FC236}">
                  <a16:creationId xmlns:a16="http://schemas.microsoft.com/office/drawing/2014/main" id="{00000000-0008-0000-0700-000009080000}"/>
                </a:ext>
              </a:extLst>
            </xdr:cNvPr>
            <xdr:cNvSpPr/>
          </xdr:nvSpPr>
          <xdr:spPr bwMode="auto">
            <a:xfrm>
              <a:off x="0" y="0"/>
              <a:ext cx="0" cy="0"/>
            </a:xfrm>
            <a:prstGeom prst="rect">
              <a:avLst/>
            </a:prstGeom>
            <a:noFill/>
            <a:ln>
              <a:noFill/>
            </a:ln>
            <a:extLst>
              <a:ext uri="{909E8E84-426E-40DD-AFC4-6F175D3DCCD1}">
                <a14:hiddenFill>
                  <a:solidFill>
                    <a:srgbClr val="000000" mc:Ignorable="a14" a14:legacySpreadsheetColorIndex="64"/>
                  </a:solidFill>
                </a14:hiddenFill>
              </a:ext>
              <a:ext uri="{91240B29-F687-4F45-9708-019B960494DF}">
                <a14:hiddenLine w="1">
                  <a:solidFill>
                    <a:srgbClr val="FFFFFF" mc:Ignorable="a14" a14:legacySpreadsheetColorIndex="65"/>
                  </a:solidFill>
                  <a:miter lim="800000"/>
                  <a:headEnd/>
                  <a:tailEnd/>
                </a14:hiddenLine>
              </a:ext>
            </a:extLst>
          </xdr:spPr>
        </xdr:sp>
        <xdr:clientData/>
      </xdr:twoCellAnchor>
    </mc:Choice>
    <mc:Fallback/>
  </mc:AlternateContent>
  <mc:AlternateContent xmlns:mc="http://schemas.openxmlformats.org/markup-compatibility/2006">
    <mc:Choice xmlns:a14="http://schemas.microsoft.com/office/drawing/2010/main" Requires="a14">
      <xdr:twoCellAnchor editAs="oneCell">
        <xdr:from>
          <xdr:col>2</xdr:col>
          <xdr:colOff>667910</xdr:colOff>
          <xdr:row>11</xdr:row>
          <xdr:rowOff>39757</xdr:rowOff>
        </xdr:from>
        <xdr:to>
          <xdr:col>2</xdr:col>
          <xdr:colOff>866692</xdr:colOff>
          <xdr:row>11</xdr:row>
          <xdr:rowOff>254442</xdr:rowOff>
        </xdr:to>
        <xdr:sp macro="" textlink="">
          <xdr:nvSpPr>
            <xdr:cNvPr id="2058" name="Check Box 10" hidden="1">
              <a:extLst>
                <a:ext uri="{63B3BB69-23CF-44E3-9099-C40C66FF867C}">
                  <a14:compatExt spid="_x0000_s2058"/>
                </a:ext>
                <a:ext uri="{FF2B5EF4-FFF2-40B4-BE49-F238E27FC236}">
                  <a16:creationId xmlns:a16="http://schemas.microsoft.com/office/drawing/2014/main" id="{00000000-0008-0000-0700-00000A080000}"/>
                </a:ext>
              </a:extLst>
            </xdr:cNvPr>
            <xdr:cNvSpPr/>
          </xdr:nvSpPr>
          <xdr:spPr bwMode="auto">
            <a:xfrm>
              <a:off x="0" y="0"/>
              <a:ext cx="0" cy="0"/>
            </a:xfrm>
            <a:prstGeom prst="rect">
              <a:avLst/>
            </a:prstGeom>
            <a:noFill/>
            <a:ln>
              <a:noFill/>
            </a:ln>
            <a:extLst>
              <a:ext uri="{909E8E84-426E-40DD-AFC4-6F175D3DCCD1}">
                <a14:hiddenFill>
                  <a:solidFill>
                    <a:srgbClr val="000000" mc:Ignorable="a14" a14:legacySpreadsheetColorIndex="64"/>
                  </a:solidFill>
                </a14:hiddenFill>
              </a:ext>
              <a:ext uri="{91240B29-F687-4F45-9708-019B960494DF}">
                <a14:hiddenLine w="1">
                  <a:solidFill>
                    <a:srgbClr val="FFFFFF" mc:Ignorable="a14" a14:legacySpreadsheetColorIndex="65"/>
                  </a:solidFill>
                  <a:miter lim="800000"/>
                  <a:headEnd/>
                  <a:tailEnd/>
                </a14:hiddenLine>
              </a:ext>
            </a:extLst>
          </xdr:spPr>
        </xdr:sp>
        <xdr:clientData/>
      </xdr:twoCellAnchor>
    </mc:Choice>
    <mc:Fallback/>
  </mc:AlternateContent>
  <mc:AlternateContent xmlns:mc="http://schemas.openxmlformats.org/markup-compatibility/2006">
    <mc:Choice xmlns:a14="http://schemas.microsoft.com/office/drawing/2010/main" Requires="a14">
      <xdr:twoCellAnchor editAs="oneCell">
        <xdr:from>
          <xdr:col>3</xdr:col>
          <xdr:colOff>667910</xdr:colOff>
          <xdr:row>7</xdr:row>
          <xdr:rowOff>39757</xdr:rowOff>
        </xdr:from>
        <xdr:to>
          <xdr:col>3</xdr:col>
          <xdr:colOff>866692</xdr:colOff>
          <xdr:row>7</xdr:row>
          <xdr:rowOff>254442</xdr:rowOff>
        </xdr:to>
        <xdr:sp macro="" textlink="">
          <xdr:nvSpPr>
            <xdr:cNvPr id="2059" name="Check Box 11" hidden="1">
              <a:extLst>
                <a:ext uri="{63B3BB69-23CF-44E3-9099-C40C66FF867C}">
                  <a14:compatExt spid="_x0000_s2059"/>
                </a:ext>
                <a:ext uri="{FF2B5EF4-FFF2-40B4-BE49-F238E27FC236}">
                  <a16:creationId xmlns:a16="http://schemas.microsoft.com/office/drawing/2014/main" id="{00000000-0008-0000-0700-00000B080000}"/>
                </a:ext>
              </a:extLst>
            </xdr:cNvPr>
            <xdr:cNvSpPr/>
          </xdr:nvSpPr>
          <xdr:spPr bwMode="auto">
            <a:xfrm>
              <a:off x="0" y="0"/>
              <a:ext cx="0" cy="0"/>
            </a:xfrm>
            <a:prstGeom prst="rect">
              <a:avLst/>
            </a:prstGeom>
            <a:noFill/>
            <a:ln>
              <a:noFill/>
            </a:ln>
            <a:extLst>
              <a:ext uri="{909E8E84-426E-40DD-AFC4-6F175D3DCCD1}">
                <a14:hiddenFill>
                  <a:solidFill>
                    <a:srgbClr val="000000" mc:Ignorable="a14" a14:legacySpreadsheetColorIndex="64"/>
                  </a:solidFill>
                </a14:hiddenFill>
              </a:ext>
              <a:ext uri="{91240B29-F687-4F45-9708-019B960494DF}">
                <a14:hiddenLine w="1">
                  <a:solidFill>
                    <a:srgbClr val="FFFFFF" mc:Ignorable="a14" a14:legacySpreadsheetColorIndex="65"/>
                  </a:solidFill>
                  <a:miter lim="800000"/>
                  <a:headEnd/>
                  <a:tailEnd/>
                </a14:hiddenLine>
              </a:ext>
            </a:extLst>
          </xdr:spPr>
        </xdr:sp>
        <xdr:clientData/>
      </xdr:twoCellAnchor>
    </mc:Choice>
    <mc:Fallback/>
  </mc:AlternateContent>
  <mc:AlternateContent xmlns:mc="http://schemas.openxmlformats.org/markup-compatibility/2006">
    <mc:Choice xmlns:a14="http://schemas.microsoft.com/office/drawing/2010/main" Requires="a14">
      <xdr:twoCellAnchor editAs="oneCell">
        <xdr:from>
          <xdr:col>3</xdr:col>
          <xdr:colOff>667910</xdr:colOff>
          <xdr:row>8</xdr:row>
          <xdr:rowOff>39757</xdr:rowOff>
        </xdr:from>
        <xdr:to>
          <xdr:col>3</xdr:col>
          <xdr:colOff>866692</xdr:colOff>
          <xdr:row>8</xdr:row>
          <xdr:rowOff>254442</xdr:rowOff>
        </xdr:to>
        <xdr:sp macro="" textlink="">
          <xdr:nvSpPr>
            <xdr:cNvPr id="2060" name="Check Box 12" hidden="1">
              <a:extLst>
                <a:ext uri="{63B3BB69-23CF-44E3-9099-C40C66FF867C}">
                  <a14:compatExt spid="_x0000_s2060"/>
                </a:ext>
                <a:ext uri="{FF2B5EF4-FFF2-40B4-BE49-F238E27FC236}">
                  <a16:creationId xmlns:a16="http://schemas.microsoft.com/office/drawing/2014/main" id="{00000000-0008-0000-0700-00000C080000}"/>
                </a:ext>
              </a:extLst>
            </xdr:cNvPr>
            <xdr:cNvSpPr/>
          </xdr:nvSpPr>
          <xdr:spPr bwMode="auto">
            <a:xfrm>
              <a:off x="0" y="0"/>
              <a:ext cx="0" cy="0"/>
            </a:xfrm>
            <a:prstGeom prst="rect">
              <a:avLst/>
            </a:prstGeom>
            <a:noFill/>
            <a:ln>
              <a:noFill/>
            </a:ln>
            <a:extLst>
              <a:ext uri="{909E8E84-426E-40DD-AFC4-6F175D3DCCD1}">
                <a14:hiddenFill>
                  <a:solidFill>
                    <a:srgbClr val="000000" mc:Ignorable="a14" a14:legacySpreadsheetColorIndex="64"/>
                  </a:solidFill>
                </a14:hiddenFill>
              </a:ext>
              <a:ext uri="{91240B29-F687-4F45-9708-019B960494DF}">
                <a14:hiddenLine w="1">
                  <a:solidFill>
                    <a:srgbClr val="FFFFFF" mc:Ignorable="a14" a14:legacySpreadsheetColorIndex="65"/>
                  </a:solidFill>
                  <a:miter lim="800000"/>
                  <a:headEnd/>
                  <a:tailEnd/>
                </a14:hiddenLine>
              </a:ext>
            </a:extLst>
          </xdr:spPr>
        </xdr:sp>
        <xdr:clientData/>
      </xdr:twoCellAnchor>
    </mc:Choice>
    <mc:Fallback/>
  </mc:AlternateContent>
  <mc:AlternateContent xmlns:mc="http://schemas.openxmlformats.org/markup-compatibility/2006">
    <mc:Choice xmlns:a14="http://schemas.microsoft.com/office/drawing/2010/main" Requires="a14">
      <xdr:twoCellAnchor editAs="oneCell">
        <xdr:from>
          <xdr:col>3</xdr:col>
          <xdr:colOff>667910</xdr:colOff>
          <xdr:row>9</xdr:row>
          <xdr:rowOff>39757</xdr:rowOff>
        </xdr:from>
        <xdr:to>
          <xdr:col>3</xdr:col>
          <xdr:colOff>866692</xdr:colOff>
          <xdr:row>9</xdr:row>
          <xdr:rowOff>254442</xdr:rowOff>
        </xdr:to>
        <xdr:sp macro="" textlink="">
          <xdr:nvSpPr>
            <xdr:cNvPr id="2061" name="Check Box 13" hidden="1">
              <a:extLst>
                <a:ext uri="{63B3BB69-23CF-44E3-9099-C40C66FF867C}">
                  <a14:compatExt spid="_x0000_s2061"/>
                </a:ext>
                <a:ext uri="{FF2B5EF4-FFF2-40B4-BE49-F238E27FC236}">
                  <a16:creationId xmlns:a16="http://schemas.microsoft.com/office/drawing/2014/main" id="{00000000-0008-0000-0700-00000D080000}"/>
                </a:ext>
              </a:extLst>
            </xdr:cNvPr>
            <xdr:cNvSpPr/>
          </xdr:nvSpPr>
          <xdr:spPr bwMode="auto">
            <a:xfrm>
              <a:off x="0" y="0"/>
              <a:ext cx="0" cy="0"/>
            </a:xfrm>
            <a:prstGeom prst="rect">
              <a:avLst/>
            </a:prstGeom>
            <a:noFill/>
            <a:ln>
              <a:noFill/>
            </a:ln>
            <a:extLst>
              <a:ext uri="{909E8E84-426E-40DD-AFC4-6F175D3DCCD1}">
                <a14:hiddenFill>
                  <a:solidFill>
                    <a:srgbClr val="000000" mc:Ignorable="a14" a14:legacySpreadsheetColorIndex="64"/>
                  </a:solidFill>
                </a14:hiddenFill>
              </a:ext>
              <a:ext uri="{91240B29-F687-4F45-9708-019B960494DF}">
                <a14:hiddenLine w="1">
                  <a:solidFill>
                    <a:srgbClr val="FFFFFF" mc:Ignorable="a14" a14:legacySpreadsheetColorIndex="65"/>
                  </a:solidFill>
                  <a:miter lim="800000"/>
                  <a:headEnd/>
                  <a:tailEnd/>
                </a14:hiddenLine>
              </a:ext>
            </a:extLst>
          </xdr:spPr>
        </xdr:sp>
        <xdr:clientData/>
      </xdr:twoCellAnchor>
    </mc:Choice>
    <mc:Fallback/>
  </mc:AlternateContent>
  <mc:AlternateContent xmlns:mc="http://schemas.openxmlformats.org/markup-compatibility/2006">
    <mc:Choice xmlns:a14="http://schemas.microsoft.com/office/drawing/2010/main" Requires="a14">
      <xdr:twoCellAnchor editAs="oneCell">
        <xdr:from>
          <xdr:col>3</xdr:col>
          <xdr:colOff>667910</xdr:colOff>
          <xdr:row>10</xdr:row>
          <xdr:rowOff>39757</xdr:rowOff>
        </xdr:from>
        <xdr:to>
          <xdr:col>3</xdr:col>
          <xdr:colOff>866692</xdr:colOff>
          <xdr:row>10</xdr:row>
          <xdr:rowOff>254442</xdr:rowOff>
        </xdr:to>
        <xdr:sp macro="" textlink="">
          <xdr:nvSpPr>
            <xdr:cNvPr id="2062" name="Check Box 14" hidden="1">
              <a:extLst>
                <a:ext uri="{63B3BB69-23CF-44E3-9099-C40C66FF867C}">
                  <a14:compatExt spid="_x0000_s2062"/>
                </a:ext>
                <a:ext uri="{FF2B5EF4-FFF2-40B4-BE49-F238E27FC236}">
                  <a16:creationId xmlns:a16="http://schemas.microsoft.com/office/drawing/2014/main" id="{00000000-0008-0000-0700-00000E080000}"/>
                </a:ext>
              </a:extLst>
            </xdr:cNvPr>
            <xdr:cNvSpPr/>
          </xdr:nvSpPr>
          <xdr:spPr bwMode="auto">
            <a:xfrm>
              <a:off x="0" y="0"/>
              <a:ext cx="0" cy="0"/>
            </a:xfrm>
            <a:prstGeom prst="rect">
              <a:avLst/>
            </a:prstGeom>
            <a:noFill/>
            <a:ln>
              <a:noFill/>
            </a:ln>
            <a:extLst>
              <a:ext uri="{909E8E84-426E-40DD-AFC4-6F175D3DCCD1}">
                <a14:hiddenFill>
                  <a:solidFill>
                    <a:srgbClr val="000000" mc:Ignorable="a14" a14:legacySpreadsheetColorIndex="64"/>
                  </a:solidFill>
                </a14:hiddenFill>
              </a:ext>
              <a:ext uri="{91240B29-F687-4F45-9708-019B960494DF}">
                <a14:hiddenLine w="1">
                  <a:solidFill>
                    <a:srgbClr val="FFFFFF" mc:Ignorable="a14" a14:legacySpreadsheetColorIndex="65"/>
                  </a:solidFill>
                  <a:miter lim="800000"/>
                  <a:headEnd/>
                  <a:tailEnd/>
                </a14:hiddenLine>
              </a:ext>
            </a:extLst>
          </xdr:spPr>
        </xdr:sp>
        <xdr:clientData/>
      </xdr:twoCellAnchor>
    </mc:Choice>
    <mc:Fallback/>
  </mc:AlternateContent>
  <mc:AlternateContent xmlns:mc="http://schemas.openxmlformats.org/markup-compatibility/2006">
    <mc:Choice xmlns:a14="http://schemas.microsoft.com/office/drawing/2010/main" Requires="a14">
      <xdr:twoCellAnchor editAs="oneCell">
        <xdr:from>
          <xdr:col>3</xdr:col>
          <xdr:colOff>667910</xdr:colOff>
          <xdr:row>11</xdr:row>
          <xdr:rowOff>39757</xdr:rowOff>
        </xdr:from>
        <xdr:to>
          <xdr:col>3</xdr:col>
          <xdr:colOff>866692</xdr:colOff>
          <xdr:row>11</xdr:row>
          <xdr:rowOff>254442</xdr:rowOff>
        </xdr:to>
        <xdr:sp macro="" textlink="">
          <xdr:nvSpPr>
            <xdr:cNvPr id="2063" name="Check Box 15" hidden="1">
              <a:extLst>
                <a:ext uri="{63B3BB69-23CF-44E3-9099-C40C66FF867C}">
                  <a14:compatExt spid="_x0000_s2063"/>
                </a:ext>
                <a:ext uri="{FF2B5EF4-FFF2-40B4-BE49-F238E27FC236}">
                  <a16:creationId xmlns:a16="http://schemas.microsoft.com/office/drawing/2014/main" id="{00000000-0008-0000-0700-00000F080000}"/>
                </a:ext>
              </a:extLst>
            </xdr:cNvPr>
            <xdr:cNvSpPr/>
          </xdr:nvSpPr>
          <xdr:spPr bwMode="auto">
            <a:xfrm>
              <a:off x="0" y="0"/>
              <a:ext cx="0" cy="0"/>
            </a:xfrm>
            <a:prstGeom prst="rect">
              <a:avLst/>
            </a:prstGeom>
            <a:noFill/>
            <a:ln>
              <a:noFill/>
            </a:ln>
            <a:extLst>
              <a:ext uri="{909E8E84-426E-40DD-AFC4-6F175D3DCCD1}">
                <a14:hiddenFill>
                  <a:solidFill>
                    <a:srgbClr val="000000" mc:Ignorable="a14" a14:legacySpreadsheetColorIndex="64"/>
                  </a:solidFill>
                </a14:hiddenFill>
              </a:ext>
              <a:ext uri="{91240B29-F687-4F45-9708-019B960494DF}">
                <a14:hiddenLine w="1">
                  <a:solidFill>
                    <a:srgbClr val="FFFFFF" mc:Ignorable="a14" a14:legacySpreadsheetColorIndex="65"/>
                  </a:solidFill>
                  <a:miter lim="800000"/>
                  <a:headEnd/>
                  <a:tailEnd/>
                </a14:hiddenLine>
              </a:ext>
            </a:extLst>
          </xdr:spPr>
        </xdr:sp>
        <xdr:clientData/>
      </xdr:twoCellAnchor>
    </mc:Choice>
    <mc:Fallback/>
  </mc:AlternateContent>
</xdr:wsDr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_rels/sheet1.xml.rels><?xml version="1.0" encoding="UTF-8" standalone="yes"?>
<Relationships xmlns="http://schemas.openxmlformats.org/package/2006/relationships"><Relationship Id="rId3" Type="http://schemas.openxmlformats.org/officeDocument/2006/relationships/ctrlProp" Target="../ctrlProps/ctrlProp1.xml"/><Relationship Id="rId7" Type="http://schemas.openxmlformats.org/officeDocument/2006/relationships/ctrlProp" Target="../ctrlProps/ctrlProp5.xml"/><Relationship Id="rId2" Type="http://schemas.openxmlformats.org/officeDocument/2006/relationships/vmlDrawing" Target="../drawings/vmlDrawing1.vml"/><Relationship Id="rId1" Type="http://schemas.openxmlformats.org/officeDocument/2006/relationships/drawing" Target="../drawings/drawing1.xml"/><Relationship Id="rId6" Type="http://schemas.openxmlformats.org/officeDocument/2006/relationships/ctrlProp" Target="../ctrlProps/ctrlProp4.xml"/><Relationship Id="rId5" Type="http://schemas.openxmlformats.org/officeDocument/2006/relationships/ctrlProp" Target="../ctrlProps/ctrlProp3.xml"/><Relationship Id="rId4" Type="http://schemas.openxmlformats.org/officeDocument/2006/relationships/ctrlProp" Target="../ctrlProps/ctrlProp2.xml"/></Relationships>
</file>

<file path=xl/worksheets/_rels/sheet2.xml.rels><?xml version="1.0" encoding="UTF-8" standalone="yes"?>
<Relationships xmlns="http://schemas.openxmlformats.org/package/2006/relationships"><Relationship Id="rId8" Type="http://schemas.openxmlformats.org/officeDocument/2006/relationships/ctrlProp" Target="../ctrlProps/ctrlProp11.xml"/><Relationship Id="rId3" Type="http://schemas.openxmlformats.org/officeDocument/2006/relationships/ctrlProp" Target="../ctrlProps/ctrlProp6.xml"/><Relationship Id="rId7" Type="http://schemas.openxmlformats.org/officeDocument/2006/relationships/ctrlProp" Target="../ctrlProps/ctrlProp10.xml"/><Relationship Id="rId2" Type="http://schemas.openxmlformats.org/officeDocument/2006/relationships/vmlDrawing" Target="../drawings/vmlDrawing2.vml"/><Relationship Id="rId1" Type="http://schemas.openxmlformats.org/officeDocument/2006/relationships/drawing" Target="../drawings/drawing2.xml"/><Relationship Id="rId6" Type="http://schemas.openxmlformats.org/officeDocument/2006/relationships/ctrlProp" Target="../ctrlProps/ctrlProp9.xml"/><Relationship Id="rId5" Type="http://schemas.openxmlformats.org/officeDocument/2006/relationships/ctrlProp" Target="../ctrlProps/ctrlProp8.xml"/><Relationship Id="rId10" Type="http://schemas.openxmlformats.org/officeDocument/2006/relationships/ctrlProp" Target="../ctrlProps/ctrlProp13.xml"/><Relationship Id="rId4" Type="http://schemas.openxmlformats.org/officeDocument/2006/relationships/ctrlProp" Target="../ctrlProps/ctrlProp7.xml"/><Relationship Id="rId9" Type="http://schemas.openxmlformats.org/officeDocument/2006/relationships/ctrlProp" Target="../ctrlProps/ctrlProp12.xml"/></Relationships>
</file>

<file path=xl/worksheets/_rels/sheet4.xml.rels><?xml version="1.0" encoding="UTF-8" standalone="yes"?>
<Relationships xmlns="http://schemas.openxmlformats.org/package/2006/relationships"><Relationship Id="rId8" Type="http://schemas.openxmlformats.org/officeDocument/2006/relationships/ctrlProp" Target="../ctrlProps/ctrlProp19.xml"/><Relationship Id="rId13" Type="http://schemas.openxmlformats.org/officeDocument/2006/relationships/ctrlProp" Target="../ctrlProps/ctrlProp24.xml"/><Relationship Id="rId3" Type="http://schemas.openxmlformats.org/officeDocument/2006/relationships/ctrlProp" Target="../ctrlProps/ctrlProp14.xml"/><Relationship Id="rId7" Type="http://schemas.openxmlformats.org/officeDocument/2006/relationships/ctrlProp" Target="../ctrlProps/ctrlProp18.xml"/><Relationship Id="rId12" Type="http://schemas.openxmlformats.org/officeDocument/2006/relationships/ctrlProp" Target="../ctrlProps/ctrlProp23.xml"/><Relationship Id="rId2" Type="http://schemas.openxmlformats.org/officeDocument/2006/relationships/vmlDrawing" Target="../drawings/vmlDrawing3.vml"/><Relationship Id="rId1" Type="http://schemas.openxmlformats.org/officeDocument/2006/relationships/drawing" Target="../drawings/drawing3.xml"/><Relationship Id="rId6" Type="http://schemas.openxmlformats.org/officeDocument/2006/relationships/ctrlProp" Target="../ctrlProps/ctrlProp17.xml"/><Relationship Id="rId11" Type="http://schemas.openxmlformats.org/officeDocument/2006/relationships/ctrlProp" Target="../ctrlProps/ctrlProp22.xml"/><Relationship Id="rId5" Type="http://schemas.openxmlformats.org/officeDocument/2006/relationships/ctrlProp" Target="../ctrlProps/ctrlProp16.xml"/><Relationship Id="rId10" Type="http://schemas.openxmlformats.org/officeDocument/2006/relationships/ctrlProp" Target="../ctrlProps/ctrlProp21.xml"/><Relationship Id="rId4" Type="http://schemas.openxmlformats.org/officeDocument/2006/relationships/ctrlProp" Target="../ctrlProps/ctrlProp15.xml"/><Relationship Id="rId9" Type="http://schemas.openxmlformats.org/officeDocument/2006/relationships/ctrlProp" Target="../ctrlProps/ctrlProp20.xml"/><Relationship Id="rId14" Type="http://schemas.openxmlformats.org/officeDocument/2006/relationships/ctrlProp" Target="../ctrlProps/ctrlProp25.xml"/></Relationships>
</file>

<file path=xl/worksheets/_rels/sheet8.xml.rels><?xml version="1.0" encoding="UTF-8" standalone="yes"?>
<Relationships xmlns="http://schemas.openxmlformats.org/package/2006/relationships"><Relationship Id="rId8" Type="http://schemas.openxmlformats.org/officeDocument/2006/relationships/ctrlProp" Target="../ctrlProps/ctrlProp31.xml"/><Relationship Id="rId13" Type="http://schemas.openxmlformats.org/officeDocument/2006/relationships/ctrlProp" Target="../ctrlProps/ctrlProp36.xml"/><Relationship Id="rId3" Type="http://schemas.openxmlformats.org/officeDocument/2006/relationships/ctrlProp" Target="../ctrlProps/ctrlProp26.xml"/><Relationship Id="rId7" Type="http://schemas.openxmlformats.org/officeDocument/2006/relationships/ctrlProp" Target="../ctrlProps/ctrlProp30.xml"/><Relationship Id="rId12" Type="http://schemas.openxmlformats.org/officeDocument/2006/relationships/ctrlProp" Target="../ctrlProps/ctrlProp35.xml"/><Relationship Id="rId17" Type="http://schemas.openxmlformats.org/officeDocument/2006/relationships/ctrlProp" Target="../ctrlProps/ctrlProp40.xml"/><Relationship Id="rId2" Type="http://schemas.openxmlformats.org/officeDocument/2006/relationships/vmlDrawing" Target="../drawings/vmlDrawing4.vml"/><Relationship Id="rId16" Type="http://schemas.openxmlformats.org/officeDocument/2006/relationships/ctrlProp" Target="../ctrlProps/ctrlProp39.xml"/><Relationship Id="rId1" Type="http://schemas.openxmlformats.org/officeDocument/2006/relationships/drawing" Target="../drawings/drawing4.xml"/><Relationship Id="rId6" Type="http://schemas.openxmlformats.org/officeDocument/2006/relationships/ctrlProp" Target="../ctrlProps/ctrlProp29.xml"/><Relationship Id="rId11" Type="http://schemas.openxmlformats.org/officeDocument/2006/relationships/ctrlProp" Target="../ctrlProps/ctrlProp34.xml"/><Relationship Id="rId5" Type="http://schemas.openxmlformats.org/officeDocument/2006/relationships/ctrlProp" Target="../ctrlProps/ctrlProp28.xml"/><Relationship Id="rId15" Type="http://schemas.openxmlformats.org/officeDocument/2006/relationships/ctrlProp" Target="../ctrlProps/ctrlProp38.xml"/><Relationship Id="rId10" Type="http://schemas.openxmlformats.org/officeDocument/2006/relationships/ctrlProp" Target="../ctrlProps/ctrlProp33.xml"/><Relationship Id="rId4" Type="http://schemas.openxmlformats.org/officeDocument/2006/relationships/ctrlProp" Target="../ctrlProps/ctrlProp27.xml"/><Relationship Id="rId9" Type="http://schemas.openxmlformats.org/officeDocument/2006/relationships/ctrlProp" Target="../ctrlProps/ctrlProp32.xml"/><Relationship Id="rId14" Type="http://schemas.openxmlformats.org/officeDocument/2006/relationships/ctrlProp" Target="../ctrlProps/ctrlProp37.xml"/></Relationships>
</file>

<file path=xl/worksheets/sheet1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000-000000000000}">
  <dimension ref="A1:H44"/>
  <sheetViews>
    <sheetView zoomScale="110" zoomScaleNormal="110" workbookViewId="0">
      <selection activeCell="O15" sqref="O15"/>
    </sheetView>
  </sheetViews>
  <sheetFormatPr defaultRowHeight="15.05" x14ac:dyDescent="0.3"/>
  <cols>
    <col min="1" max="1" width="28" customWidth="1"/>
    <col min="2" max="2" width="16" customWidth="1"/>
    <col min="3" max="3" width="22" customWidth="1"/>
    <col min="4" max="4" width="26" customWidth="1"/>
    <col min="5" max="6" width="22" customWidth="1"/>
  </cols>
  <sheetData>
    <row r="1" spans="1:6" ht="25.05" x14ac:dyDescent="0.4">
      <c r="A1" s="103" t="s">
        <v>0</v>
      </c>
      <c r="B1" s="100"/>
      <c r="C1" s="100"/>
      <c r="D1" s="100"/>
      <c r="E1" s="100"/>
      <c r="F1" s="100"/>
    </row>
    <row r="3" spans="1:6" ht="17.55" x14ac:dyDescent="0.3">
      <c r="A3" s="101" t="s">
        <v>1</v>
      </c>
      <c r="B3" s="100"/>
      <c r="C3" s="100"/>
      <c r="D3" s="100"/>
      <c r="E3" s="100"/>
      <c r="F3" s="100"/>
    </row>
    <row r="4" spans="1:6" x14ac:dyDescent="0.3">
      <c r="A4" s="1" t="s">
        <v>2</v>
      </c>
      <c r="B4" s="104" t="s">
        <v>329</v>
      </c>
      <c r="C4" s="105"/>
      <c r="D4" s="106"/>
    </row>
    <row r="5" spans="1:6" x14ac:dyDescent="0.3">
      <c r="A5" s="1" t="s">
        <v>3</v>
      </c>
      <c r="B5" s="2">
        <f ca="1">TODAY()</f>
        <v>46203</v>
      </c>
    </row>
    <row r="6" spans="1:6" x14ac:dyDescent="0.3">
      <c r="A6" s="1" t="s">
        <v>4</v>
      </c>
      <c r="B6" s="3">
        <v>20</v>
      </c>
    </row>
    <row r="8" spans="1:6" ht="17.55" x14ac:dyDescent="0.3">
      <c r="A8" s="101" t="s">
        <v>5</v>
      </c>
      <c r="B8" s="100"/>
      <c r="C8" s="100"/>
      <c r="D8" s="100"/>
      <c r="E8" s="100"/>
      <c r="F8" s="100"/>
    </row>
    <row r="9" spans="1:6" ht="31.95" customHeight="1" x14ac:dyDescent="0.3">
      <c r="A9" s="4" t="s">
        <v>6</v>
      </c>
      <c r="B9" s="4" t="s">
        <v>7</v>
      </c>
      <c r="C9" s="4" t="s">
        <v>8</v>
      </c>
      <c r="D9" s="4" t="s">
        <v>9</v>
      </c>
      <c r="E9" s="4" t="s">
        <v>326</v>
      </c>
      <c r="F9" s="4" t="s">
        <v>327</v>
      </c>
    </row>
    <row r="10" spans="1:6" ht="22.1" customHeight="1" x14ac:dyDescent="0.3">
      <c r="A10" s="5" t="s">
        <v>11</v>
      </c>
      <c r="B10" s="93" t="b">
        <v>1</v>
      </c>
      <c r="C10" s="6">
        <f>Config!D5</f>
        <v>276.66666666666663</v>
      </c>
      <c r="D10" s="7">
        <f>C10*$B$19*$B$21</f>
        <v>235.16666666666663</v>
      </c>
      <c r="E10" s="8">
        <f>B10*D10*$B$6</f>
        <v>4703.3333333333321</v>
      </c>
      <c r="F10" s="7">
        <f>E10*12</f>
        <v>56439.999999999985</v>
      </c>
    </row>
    <row r="11" spans="1:6" ht="22.1" customHeight="1" x14ac:dyDescent="0.3">
      <c r="A11" s="5" t="s">
        <v>328</v>
      </c>
      <c r="B11" s="93" t="b">
        <v>1</v>
      </c>
      <c r="C11" s="6">
        <f>Config!D6</f>
        <v>332</v>
      </c>
      <c r="D11" s="7">
        <f>C11*$B$19*$B$21</f>
        <v>282.2</v>
      </c>
      <c r="E11" s="8">
        <f>B11*D11*$B$6</f>
        <v>5644</v>
      </c>
      <c r="F11" s="7">
        <f>E11*12</f>
        <v>67728</v>
      </c>
    </row>
    <row r="12" spans="1:6" ht="22.1" customHeight="1" x14ac:dyDescent="0.3">
      <c r="A12" s="5" t="s">
        <v>13</v>
      </c>
      <c r="B12" s="93" t="b">
        <v>1</v>
      </c>
      <c r="C12" s="6">
        <f>Config!D7</f>
        <v>200</v>
      </c>
      <c r="D12" s="7">
        <f>C12*$B$19*$B$21</f>
        <v>170</v>
      </c>
      <c r="E12" s="8">
        <f>B12*D12*$B$6</f>
        <v>3400</v>
      </c>
      <c r="F12" s="7">
        <f>E12*12</f>
        <v>40800</v>
      </c>
    </row>
    <row r="13" spans="1:6" ht="22.1" customHeight="1" x14ac:dyDescent="0.3">
      <c r="A13" s="5" t="s">
        <v>14</v>
      </c>
      <c r="B13" s="93" t="b">
        <v>1</v>
      </c>
      <c r="C13" s="6">
        <f>Config!D8</f>
        <v>332</v>
      </c>
      <c r="D13" s="7">
        <f>C13*$B$19*$B$21</f>
        <v>282.2</v>
      </c>
      <c r="E13" s="8">
        <f>B13*D13*$B$6</f>
        <v>5644</v>
      </c>
      <c r="F13" s="7">
        <f>E13*12</f>
        <v>67728</v>
      </c>
    </row>
    <row r="14" spans="1:6" ht="22.1" customHeight="1" x14ac:dyDescent="0.3">
      <c r="A14" s="5" t="s">
        <v>15</v>
      </c>
      <c r="B14" s="93" t="b">
        <v>0</v>
      </c>
      <c r="C14" s="6">
        <f>Config!D9</f>
        <v>1000</v>
      </c>
      <c r="D14" s="7">
        <f>C14*$B$19*$B$21</f>
        <v>850</v>
      </c>
      <c r="E14" s="8">
        <f>B14*D14*$B$6</f>
        <v>0</v>
      </c>
      <c r="F14" s="7">
        <f>E14*12</f>
        <v>0</v>
      </c>
    </row>
    <row r="15" spans="1:6" x14ac:dyDescent="0.3">
      <c r="A15" s="5" t="s">
        <v>16</v>
      </c>
      <c r="B15" s="108" t="str">
        <f>IF(AND(B10,B11),"INVALID: Fuel already includes Tracking. Please deselect one.","Configuration is valid.")</f>
        <v>INVALID: Fuel already includes Tracking. Please deselect one.</v>
      </c>
      <c r="C15" s="105"/>
      <c r="D15" s="105"/>
      <c r="E15" s="105"/>
      <c r="F15" s="106"/>
    </row>
    <row r="17" spans="1:8" ht="17.55" x14ac:dyDescent="0.3">
      <c r="A17" s="101" t="s">
        <v>17</v>
      </c>
      <c r="B17" s="100"/>
      <c r="C17" s="100"/>
      <c r="D17" s="100"/>
      <c r="E17" s="100"/>
      <c r="F17" s="100"/>
    </row>
    <row r="18" spans="1:8" x14ac:dyDescent="0.3">
      <c r="A18" s="1" t="s">
        <v>18</v>
      </c>
      <c r="B18" s="9">
        <f>SUMPRODUCT(--B10:B14)</f>
        <v>4</v>
      </c>
    </row>
    <row r="19" spans="1:8" x14ac:dyDescent="0.3">
      <c r="A19" s="1" t="s">
        <v>19</v>
      </c>
      <c r="B19" s="10">
        <f>IFERROR(VLOOKUP(B18,Config!$A$14:$C$18,3,FALSE),1)</f>
        <v>0.85</v>
      </c>
      <c r="C19" s="11">
        <f>IFERROR(VLOOKUP(B18,Config!$A$14:$C$18,2,FALSE),0)</f>
        <v>0.15</v>
      </c>
      <c r="D19" s="12" t="s">
        <v>20</v>
      </c>
    </row>
    <row r="20" spans="1:8" x14ac:dyDescent="0.3">
      <c r="A20" s="1" t="s">
        <v>21</v>
      </c>
      <c r="B20" s="13" t="str">
        <f>VLOOKUP($B$6,Config!$A$22:$E$26,3,TRUE)</f>
        <v>SMB</v>
      </c>
    </row>
    <row r="21" spans="1:8" x14ac:dyDescent="0.3">
      <c r="A21" s="1" t="s">
        <v>22</v>
      </c>
      <c r="B21" s="10">
        <f>VLOOKUP($B$6,Config!$A$22:$E$26,5,TRUE)</f>
        <v>1</v>
      </c>
      <c r="C21" s="11">
        <f>VLOOKUP($B$6,Config!$A$22:$E$26,4,TRUE)</f>
        <v>0</v>
      </c>
      <c r="D21" s="12" t="s">
        <v>23</v>
      </c>
    </row>
    <row r="23" spans="1:8" ht="17.55" x14ac:dyDescent="0.3">
      <c r="A23" s="14" t="s">
        <v>24</v>
      </c>
      <c r="B23" s="15"/>
      <c r="C23" s="15"/>
      <c r="D23" s="15"/>
      <c r="E23" s="16">
        <f>SUM(E10:E14)</f>
        <v>19391.333333333332</v>
      </c>
      <c r="F23" s="16">
        <f>SUM(F10:F14)</f>
        <v>232696</v>
      </c>
    </row>
    <row r="24" spans="1:8" x14ac:dyDescent="0.3">
      <c r="A24" s="17" t="s">
        <v>25</v>
      </c>
      <c r="B24" s="15"/>
      <c r="C24" s="15"/>
      <c r="D24" s="15"/>
      <c r="E24" s="98">
        <f>1-B19*B21</f>
        <v>0.15000000000000002</v>
      </c>
      <c r="F24" s="15"/>
    </row>
    <row r="26" spans="1:8" ht="26" customHeight="1" x14ac:dyDescent="0.3">
      <c r="A26" s="109" t="s">
        <v>26</v>
      </c>
      <c r="B26" s="100"/>
      <c r="C26" s="100"/>
      <c r="D26" s="100"/>
      <c r="E26" s="100"/>
      <c r="F26" s="100"/>
    </row>
    <row r="27" spans="1:8" ht="28.05" customHeight="1" x14ac:dyDescent="0.3">
      <c r="A27" s="110">
        <f>IFERROR(E23/B6,0)</f>
        <v>969.56666666666661</v>
      </c>
      <c r="B27" s="111"/>
      <c r="C27" s="111"/>
      <c r="D27" s="111"/>
      <c r="E27" s="111"/>
      <c r="F27" s="111"/>
    </row>
    <row r="28" spans="1:8" ht="28.05" customHeight="1" x14ac:dyDescent="0.3">
      <c r="A28" s="111"/>
      <c r="B28" s="111"/>
      <c r="C28" s="111"/>
      <c r="D28" s="111"/>
      <c r="E28" s="111"/>
      <c r="F28" s="111"/>
      <c r="H28" s="95"/>
    </row>
    <row r="29" spans="1:8" ht="28.05" customHeight="1" x14ac:dyDescent="0.3">
      <c r="A29" s="111"/>
      <c r="B29" s="111"/>
      <c r="C29" s="111"/>
      <c r="D29" s="111"/>
      <c r="E29" s="111"/>
      <c r="F29" s="111"/>
    </row>
    <row r="30" spans="1:8" ht="20.05" customHeight="1" x14ac:dyDescent="0.3">
      <c r="A30" s="107" t="s">
        <v>27</v>
      </c>
      <c r="B30" s="100"/>
      <c r="C30" s="100"/>
      <c r="D30" s="100"/>
      <c r="E30" s="100"/>
      <c r="F30" s="100"/>
    </row>
    <row r="32" spans="1:8" x14ac:dyDescent="0.3">
      <c r="A32" s="99" t="s">
        <v>28</v>
      </c>
      <c r="B32" s="100"/>
      <c r="C32" s="100"/>
      <c r="D32" s="100"/>
      <c r="E32" s="100"/>
      <c r="F32" s="100"/>
    </row>
    <row r="34" spans="1:6" x14ac:dyDescent="0.3">
      <c r="A34" s="1" t="s">
        <v>29</v>
      </c>
    </row>
    <row r="35" spans="1:6" x14ac:dyDescent="0.3">
      <c r="A35" s="102" t="s">
        <v>30</v>
      </c>
      <c r="B35" s="100"/>
      <c r="C35" s="100"/>
      <c r="D35" s="100"/>
      <c r="E35" s="100"/>
      <c r="F35" s="100"/>
    </row>
    <row r="36" spans="1:6" x14ac:dyDescent="0.3">
      <c r="A36" s="102" t="s">
        <v>31</v>
      </c>
      <c r="B36" s="100"/>
      <c r="C36" s="100"/>
      <c r="D36" s="100"/>
      <c r="E36" s="100"/>
      <c r="F36" s="100"/>
    </row>
    <row r="37" spans="1:6" x14ac:dyDescent="0.3">
      <c r="A37" s="102" t="s">
        <v>32</v>
      </c>
      <c r="B37" s="100"/>
      <c r="C37" s="100"/>
      <c r="D37" s="100"/>
      <c r="E37" s="100"/>
      <c r="F37" s="100"/>
    </row>
    <row r="38" spans="1:6" x14ac:dyDescent="0.3">
      <c r="A38" s="102" t="s">
        <v>33</v>
      </c>
      <c r="B38" s="100"/>
      <c r="C38" s="100"/>
      <c r="D38" s="100"/>
      <c r="E38" s="100"/>
      <c r="F38" s="100"/>
    </row>
    <row r="39" spans="1:6" x14ac:dyDescent="0.3">
      <c r="A39" s="102" t="s">
        <v>34</v>
      </c>
      <c r="B39" s="100"/>
      <c r="C39" s="100"/>
      <c r="D39" s="100"/>
      <c r="E39" s="100"/>
      <c r="F39" s="100"/>
    </row>
    <row r="40" spans="1:6" x14ac:dyDescent="0.3">
      <c r="A40" s="102" t="s">
        <v>35</v>
      </c>
      <c r="B40" s="100"/>
      <c r="C40" s="100"/>
      <c r="D40" s="100"/>
      <c r="E40" s="100"/>
      <c r="F40" s="100"/>
    </row>
    <row r="41" spans="1:6" x14ac:dyDescent="0.3">
      <c r="A41" s="102" t="s">
        <v>36</v>
      </c>
      <c r="B41" s="100"/>
      <c r="C41" s="100"/>
      <c r="D41" s="100"/>
      <c r="E41" s="100"/>
      <c r="F41" s="100"/>
    </row>
    <row r="42" spans="1:6" x14ac:dyDescent="0.3">
      <c r="A42" s="102" t="s">
        <v>37</v>
      </c>
      <c r="B42" s="100"/>
      <c r="C42" s="100"/>
      <c r="D42" s="100"/>
      <c r="E42" s="100"/>
      <c r="F42" s="100"/>
    </row>
    <row r="43" spans="1:6" x14ac:dyDescent="0.3">
      <c r="A43" s="102" t="s">
        <v>38</v>
      </c>
      <c r="B43" s="100"/>
      <c r="C43" s="100"/>
      <c r="D43" s="100"/>
      <c r="E43" s="100"/>
      <c r="F43" s="100"/>
    </row>
    <row r="44" spans="1:6" x14ac:dyDescent="0.3">
      <c r="A44" s="102" t="s">
        <v>39</v>
      </c>
      <c r="B44" s="100"/>
      <c r="C44" s="100"/>
      <c r="D44" s="100"/>
      <c r="E44" s="100"/>
      <c r="F44" s="100"/>
    </row>
  </sheetData>
  <mergeCells count="20">
    <mergeCell ref="A43:F43"/>
    <mergeCell ref="A38:F38"/>
    <mergeCell ref="A44:F44"/>
    <mergeCell ref="B4:D4"/>
    <mergeCell ref="A40:F40"/>
    <mergeCell ref="A30:F30"/>
    <mergeCell ref="A39:F39"/>
    <mergeCell ref="A36:F36"/>
    <mergeCell ref="B15:F15"/>
    <mergeCell ref="A41:F41"/>
    <mergeCell ref="A37:F37"/>
    <mergeCell ref="A26:F26"/>
    <mergeCell ref="A42:F42"/>
    <mergeCell ref="A27:F29"/>
    <mergeCell ref="A32:F32"/>
    <mergeCell ref="A8:F8"/>
    <mergeCell ref="A17:F17"/>
    <mergeCell ref="A35:F35"/>
    <mergeCell ref="A1:F1"/>
    <mergeCell ref="A3:F3"/>
  </mergeCells>
  <conditionalFormatting sqref="B15">
    <cfRule type="expression" dxfId="8" priority="1" stopIfTrue="1">
      <formula>AND($B$10,$B$11)</formula>
    </cfRule>
    <cfRule type="expression" dxfId="7" priority="2" stopIfTrue="1">
      <formula>NOT(AND($B$10,$B$11))</formula>
    </cfRule>
  </conditionalFormatting>
  <pageMargins left="0.75" right="0.75" top="1" bottom="1" header="0.5" footer="0.5"/>
  <drawing r:id="rId1"/>
  <legacyDrawing r:id="rId2"/>
  <mc:AlternateContent xmlns:mc="http://schemas.openxmlformats.org/markup-compatibility/2006">
    <mc:Choice Requires="x14">
      <controls>
        <mc:AlternateContent xmlns:mc="http://schemas.openxmlformats.org/markup-compatibility/2006">
          <mc:Choice Requires="x14">
            <control shapeId="1025" r:id="rId3" name="Check Box 1">
              <controlPr defaultSize="0" autoFill="0" autoLine="0" autoPict="0">
                <anchor moveWithCells="1">
                  <from>
                    <xdr:col>1</xdr:col>
                    <xdr:colOff>461176</xdr:colOff>
                    <xdr:row>9</xdr:row>
                    <xdr:rowOff>39757</xdr:rowOff>
                  </from>
                  <to>
                    <xdr:col>1</xdr:col>
                    <xdr:colOff>659958</xdr:colOff>
                    <xdr:row>9</xdr:row>
                    <xdr:rowOff>254442</xdr:rowOff>
                  </to>
                </anchor>
              </controlPr>
            </control>
          </mc:Choice>
        </mc:AlternateContent>
        <mc:AlternateContent xmlns:mc="http://schemas.openxmlformats.org/markup-compatibility/2006">
          <mc:Choice Requires="x14">
            <control shapeId="1026" r:id="rId4" name="Check Box 2">
              <controlPr defaultSize="0" autoFill="0" autoLine="0" autoPict="0">
                <anchor moveWithCells="1">
                  <from>
                    <xdr:col>1</xdr:col>
                    <xdr:colOff>461176</xdr:colOff>
                    <xdr:row>10</xdr:row>
                    <xdr:rowOff>39757</xdr:rowOff>
                  </from>
                  <to>
                    <xdr:col>1</xdr:col>
                    <xdr:colOff>659958</xdr:colOff>
                    <xdr:row>10</xdr:row>
                    <xdr:rowOff>254442</xdr:rowOff>
                  </to>
                </anchor>
              </controlPr>
            </control>
          </mc:Choice>
        </mc:AlternateContent>
        <mc:AlternateContent xmlns:mc="http://schemas.openxmlformats.org/markup-compatibility/2006">
          <mc:Choice Requires="x14">
            <control shapeId="1027" r:id="rId5" name="Check Box 3">
              <controlPr defaultSize="0" autoFill="0" autoLine="0" autoPict="0">
                <anchor moveWithCells="1">
                  <from>
                    <xdr:col>1</xdr:col>
                    <xdr:colOff>461176</xdr:colOff>
                    <xdr:row>11</xdr:row>
                    <xdr:rowOff>39757</xdr:rowOff>
                  </from>
                  <to>
                    <xdr:col>1</xdr:col>
                    <xdr:colOff>659958</xdr:colOff>
                    <xdr:row>11</xdr:row>
                    <xdr:rowOff>254442</xdr:rowOff>
                  </to>
                </anchor>
              </controlPr>
            </control>
          </mc:Choice>
        </mc:AlternateContent>
        <mc:AlternateContent xmlns:mc="http://schemas.openxmlformats.org/markup-compatibility/2006">
          <mc:Choice Requires="x14">
            <control shapeId="1028" r:id="rId6" name="Check Box 4">
              <controlPr defaultSize="0" autoFill="0" autoLine="0" autoPict="0">
                <anchor moveWithCells="1">
                  <from>
                    <xdr:col>1</xdr:col>
                    <xdr:colOff>461176</xdr:colOff>
                    <xdr:row>12</xdr:row>
                    <xdr:rowOff>39757</xdr:rowOff>
                  </from>
                  <to>
                    <xdr:col>1</xdr:col>
                    <xdr:colOff>659958</xdr:colOff>
                    <xdr:row>12</xdr:row>
                    <xdr:rowOff>254442</xdr:rowOff>
                  </to>
                </anchor>
              </controlPr>
            </control>
          </mc:Choice>
        </mc:AlternateContent>
        <mc:AlternateContent xmlns:mc="http://schemas.openxmlformats.org/markup-compatibility/2006">
          <mc:Choice Requires="x14">
            <control shapeId="1029" r:id="rId7" name="Check Box 5">
              <controlPr defaultSize="0" autoFill="0" autoLine="0" autoPict="0">
                <anchor moveWithCells="1">
                  <from>
                    <xdr:col>1</xdr:col>
                    <xdr:colOff>461176</xdr:colOff>
                    <xdr:row>13</xdr:row>
                    <xdr:rowOff>39757</xdr:rowOff>
                  </from>
                  <to>
                    <xdr:col>1</xdr:col>
                    <xdr:colOff>659958</xdr:colOff>
                    <xdr:row>13</xdr:row>
                    <xdr:rowOff>254442</xdr:rowOff>
                  </to>
                </anchor>
              </controlPr>
            </control>
          </mc:Choice>
        </mc:AlternateContent>
      </controls>
    </mc:Choice>
  </mc:AlternateContent>
</worksheet>
</file>

<file path=xl/worksheets/sheet2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300-000000000000}">
  <dimension ref="A1:G52"/>
  <sheetViews>
    <sheetView workbookViewId="0">
      <selection activeCell="E20" sqref="E20"/>
    </sheetView>
  </sheetViews>
  <sheetFormatPr defaultRowHeight="15.05" x14ac:dyDescent="0.3"/>
  <cols>
    <col min="1" max="1" width="47.77734375" customWidth="1"/>
    <col min="2" max="2" width="22" customWidth="1"/>
    <col min="3" max="3" width="12" customWidth="1"/>
    <col min="4" max="4" width="10" customWidth="1"/>
    <col min="5" max="5" width="14" customWidth="1"/>
    <col min="6" max="6" width="18" customWidth="1"/>
    <col min="7" max="7" width="38" customWidth="1"/>
  </cols>
  <sheetData>
    <row r="1" spans="1:7" ht="25.05" x14ac:dyDescent="0.4">
      <c r="A1" s="103" t="s">
        <v>108</v>
      </c>
      <c r="B1" s="100"/>
      <c r="C1" s="100"/>
      <c r="D1" s="100"/>
      <c r="E1" s="100"/>
      <c r="F1" s="100"/>
      <c r="G1" s="100"/>
    </row>
    <row r="2" spans="1:7" x14ac:dyDescent="0.3">
      <c r="A2" s="102" t="s">
        <v>109</v>
      </c>
      <c r="B2" s="100"/>
      <c r="C2" s="100"/>
      <c r="D2" s="100"/>
      <c r="E2" s="100"/>
      <c r="F2" s="100"/>
      <c r="G2" s="100"/>
    </row>
    <row r="4" spans="1:7" ht="17.55" x14ac:dyDescent="0.3">
      <c r="A4" s="101" t="s">
        <v>110</v>
      </c>
      <c r="B4" s="100"/>
      <c r="C4" s="100"/>
      <c r="D4" s="100"/>
      <c r="E4" s="100"/>
      <c r="F4" s="100"/>
      <c r="G4" s="100"/>
    </row>
    <row r="5" spans="1:7" x14ac:dyDescent="0.3">
      <c r="A5" s="5" t="s">
        <v>111</v>
      </c>
      <c r="B5" s="46">
        <v>20</v>
      </c>
      <c r="C5" s="102" t="s">
        <v>112</v>
      </c>
      <c r="D5" s="100"/>
      <c r="E5" s="100"/>
      <c r="F5" s="100"/>
      <c r="G5" s="100"/>
    </row>
    <row r="6" spans="1:7" x14ac:dyDescent="0.3">
      <c r="A6" s="5" t="s">
        <v>113</v>
      </c>
      <c r="B6" s="3">
        <v>0</v>
      </c>
      <c r="C6" s="102" t="s">
        <v>114</v>
      </c>
      <c r="D6" s="100"/>
      <c r="E6" s="100"/>
      <c r="F6" s="100"/>
      <c r="G6" s="100"/>
    </row>
    <row r="7" spans="1:7" x14ac:dyDescent="0.3">
      <c r="A7" s="5" t="s">
        <v>115</v>
      </c>
      <c r="B7" s="3">
        <v>0</v>
      </c>
      <c r="C7" s="102" t="s">
        <v>116</v>
      </c>
      <c r="D7" s="100"/>
      <c r="E7" s="100"/>
      <c r="F7" s="100"/>
      <c r="G7" s="100"/>
    </row>
    <row r="8" spans="1:7" ht="28.05" customHeight="1" x14ac:dyDescent="0.3">
      <c r="A8" s="120" t="str">
        <f>IF(SUMPRODUCT(--(C14:C20&lt;&gt;0),--(D14:D20=0))&gt;0,"⚠ A ticked hardware item has ZERO quantity. Fuel Probe Kit qty comes from Fleet Composition above (single-tank B6 / dual-tank B7); Trailer GPS qty is entered in its own row. Set the count so it flows through.","")</f>
        <v>⚠ A ticked hardware item has ZERO quantity. Fuel Probe Kit qty comes from Fleet Composition above (single-tank B6 / dual-tank B7); Trailer GPS qty is entered in its own row. Set the count so it flows through.</v>
      </c>
      <c r="B8" s="100"/>
      <c r="C8" s="100"/>
      <c r="D8" s="100"/>
      <c r="E8" s="100"/>
      <c r="F8" s="100"/>
      <c r="G8" s="100"/>
    </row>
    <row r="9" spans="1:7" ht="17.55" x14ac:dyDescent="0.3">
      <c r="A9" s="101" t="s">
        <v>117</v>
      </c>
      <c r="B9" s="100"/>
      <c r="C9" s="100"/>
      <c r="D9" s="100"/>
      <c r="E9" s="100"/>
      <c r="F9" s="100"/>
      <c r="G9" s="100"/>
    </row>
    <row r="10" spans="1:7" ht="23.95" customHeight="1" x14ac:dyDescent="0.3">
      <c r="A10" s="117" t="s">
        <v>118</v>
      </c>
      <c r="B10" s="105"/>
      <c r="C10" s="105"/>
      <c r="D10" s="105"/>
      <c r="E10" s="106"/>
      <c r="F10" s="93" t="b">
        <v>0</v>
      </c>
      <c r="G10" s="12" t="s">
        <v>119</v>
      </c>
    </row>
    <row r="12" spans="1:7" ht="17.55" x14ac:dyDescent="0.3">
      <c r="A12" s="101" t="s">
        <v>120</v>
      </c>
      <c r="B12" s="100"/>
      <c r="C12" s="100"/>
      <c r="D12" s="100"/>
      <c r="E12" s="100"/>
      <c r="F12" s="100"/>
      <c r="G12" s="100"/>
    </row>
    <row r="13" spans="1:7" ht="28.05" customHeight="1" x14ac:dyDescent="0.3">
      <c r="A13" s="4" t="s">
        <v>121</v>
      </c>
      <c r="B13" s="4" t="s">
        <v>122</v>
      </c>
      <c r="C13" s="4" t="s">
        <v>7</v>
      </c>
      <c r="D13" s="4" t="s">
        <v>59</v>
      </c>
      <c r="E13" s="4" t="s">
        <v>123</v>
      </c>
      <c r="F13" s="4" t="s">
        <v>124</v>
      </c>
      <c r="G13" s="4" t="s">
        <v>68</v>
      </c>
    </row>
    <row r="14" spans="1:7" ht="23.95" customHeight="1" x14ac:dyDescent="0.3">
      <c r="A14" s="47" t="s">
        <v>125</v>
      </c>
      <c r="B14" s="42" t="s">
        <v>14</v>
      </c>
      <c r="C14" s="93" t="b">
        <v>0</v>
      </c>
      <c r="D14" s="48">
        <f>$B$5</f>
        <v>20</v>
      </c>
      <c r="E14" s="49">
        <f>VLOOKUP(A14,Config!$A$35:$D$37,4,FALSE)</f>
        <v>4922.5</v>
      </c>
      <c r="F14" s="8">
        <f t="shared" ref="F14:F20" si="0">C14*D14*E14</f>
        <v>0</v>
      </c>
      <c r="G14" s="41" t="s">
        <v>126</v>
      </c>
    </row>
    <row r="15" spans="1:7" ht="23.95" customHeight="1" x14ac:dyDescent="0.3">
      <c r="A15" s="47" t="s">
        <v>258</v>
      </c>
      <c r="B15" s="42" t="s">
        <v>15</v>
      </c>
      <c r="C15" s="93">
        <v>0</v>
      </c>
      <c r="D15" s="48">
        <f>$B$5</f>
        <v>20</v>
      </c>
      <c r="E15" s="49">
        <f>VLOOKUP(A15,Config!$A$35:$D$37,4,FALSE)</f>
        <v>3716.25</v>
      </c>
      <c r="F15" s="8">
        <f t="shared" si="0"/>
        <v>0</v>
      </c>
      <c r="G15" s="41" t="s">
        <v>127</v>
      </c>
    </row>
    <row r="16" spans="1:7" ht="23.95" customHeight="1" x14ac:dyDescent="0.3">
      <c r="A16" s="5" t="s">
        <v>128</v>
      </c>
      <c r="B16" s="42" t="s">
        <v>14</v>
      </c>
      <c r="C16" s="93" t="b">
        <v>0</v>
      </c>
      <c r="D16" s="48">
        <f>$B$5</f>
        <v>20</v>
      </c>
      <c r="E16" s="39">
        <f>Config!$D$38</f>
        <v>4507.5</v>
      </c>
      <c r="F16" s="8">
        <f t="shared" si="0"/>
        <v>0</v>
      </c>
      <c r="G16" s="41" t="s">
        <v>129</v>
      </c>
    </row>
    <row r="17" spans="1:7" ht="23.95" customHeight="1" x14ac:dyDescent="0.3">
      <c r="A17" s="5" t="s">
        <v>130</v>
      </c>
      <c r="B17" s="42" t="s">
        <v>131</v>
      </c>
      <c r="C17" s="93" t="b">
        <v>0</v>
      </c>
      <c r="D17" s="48">
        <f>MAX($B$5-$B$6-$B$7,0)</f>
        <v>20</v>
      </c>
      <c r="E17" s="39">
        <f>Config!$D$39</f>
        <v>798.75</v>
      </c>
      <c r="F17" s="8">
        <f t="shared" si="0"/>
        <v>0</v>
      </c>
      <c r="G17" s="41" t="s">
        <v>132</v>
      </c>
    </row>
    <row r="18" spans="1:7" ht="23.95" customHeight="1" x14ac:dyDescent="0.3">
      <c r="A18" s="5" t="s">
        <v>133</v>
      </c>
      <c r="B18" s="42" t="s">
        <v>134</v>
      </c>
      <c r="C18" s="93" t="b">
        <v>0</v>
      </c>
      <c r="D18" s="3">
        <v>0</v>
      </c>
      <c r="E18" s="39">
        <f>Config!$D$40</f>
        <v>1753.75</v>
      </c>
      <c r="F18" s="8">
        <f t="shared" si="0"/>
        <v>0</v>
      </c>
      <c r="G18" s="41" t="s">
        <v>135</v>
      </c>
    </row>
    <row r="19" spans="1:7" ht="23.95" customHeight="1" x14ac:dyDescent="0.3">
      <c r="A19" s="5" t="s">
        <v>136</v>
      </c>
      <c r="B19" s="42" t="s">
        <v>12</v>
      </c>
      <c r="C19" s="93" t="b">
        <v>0</v>
      </c>
      <c r="D19" s="48">
        <f>$B$6</f>
        <v>0</v>
      </c>
      <c r="E19" s="49">
        <f>Config!$D$39+Config!$D$41</f>
        <v>2985</v>
      </c>
      <c r="F19" s="8">
        <f t="shared" si="0"/>
        <v>0</v>
      </c>
      <c r="G19" s="41" t="s">
        <v>137</v>
      </c>
    </row>
    <row r="20" spans="1:7" ht="23.95" customHeight="1" x14ac:dyDescent="0.3">
      <c r="A20" s="5" t="s">
        <v>138</v>
      </c>
      <c r="B20" s="42" t="s">
        <v>12</v>
      </c>
      <c r="C20" s="93" t="b">
        <v>0</v>
      </c>
      <c r="D20" s="48">
        <f>$B$7</f>
        <v>0</v>
      </c>
      <c r="E20" s="49">
        <f>Config!$D$39+2*Config!$D$41</f>
        <v>5171.25</v>
      </c>
      <c r="F20" s="8">
        <f t="shared" si="0"/>
        <v>0</v>
      </c>
      <c r="G20" s="41" t="s">
        <v>139</v>
      </c>
    </row>
    <row r="22" spans="1:7" ht="15.65" x14ac:dyDescent="0.3">
      <c r="A22" s="114" t="s">
        <v>140</v>
      </c>
      <c r="B22" s="115"/>
      <c r="C22" s="115"/>
      <c r="D22" s="115"/>
      <c r="E22" s="115"/>
      <c r="F22" s="51">
        <f>SUM(F14:F20)</f>
        <v>0</v>
      </c>
      <c r="G22" s="15"/>
    </row>
    <row r="23" spans="1:7" x14ac:dyDescent="0.3">
      <c r="A23" s="116" t="s">
        <v>141</v>
      </c>
      <c r="B23" s="105"/>
      <c r="C23" s="105"/>
      <c r="D23" s="105"/>
      <c r="E23" s="106"/>
      <c r="F23" s="52">
        <f>IF($F$10,F22*Config!$B$53,0)</f>
        <v>0</v>
      </c>
      <c r="G23" s="53"/>
    </row>
    <row r="24" spans="1:7" ht="16.899999999999999" x14ac:dyDescent="0.3">
      <c r="A24" s="118" t="s">
        <v>142</v>
      </c>
      <c r="B24" s="119"/>
      <c r="C24" s="119"/>
      <c r="D24" s="119"/>
      <c r="E24" s="119"/>
      <c r="F24" s="55">
        <f>F22+F23</f>
        <v>0</v>
      </c>
      <c r="G24" s="54"/>
    </row>
    <row r="26" spans="1:7" ht="17.55" x14ac:dyDescent="0.3">
      <c r="A26" s="101" t="s">
        <v>143</v>
      </c>
      <c r="B26" s="100"/>
      <c r="C26" s="100"/>
      <c r="D26" s="100"/>
      <c r="E26" s="100"/>
      <c r="F26" s="100"/>
      <c r="G26" s="100"/>
    </row>
    <row r="27" spans="1:7" ht="28.05" customHeight="1" x14ac:dyDescent="0.3">
      <c r="A27" s="4" t="s">
        <v>144</v>
      </c>
      <c r="B27" s="4"/>
      <c r="C27" s="4"/>
      <c r="D27" s="4" t="s">
        <v>59</v>
      </c>
      <c r="E27" s="4" t="s">
        <v>145</v>
      </c>
      <c r="F27" s="4" t="s">
        <v>124</v>
      </c>
      <c r="G27" s="4" t="s">
        <v>68</v>
      </c>
    </row>
    <row r="28" spans="1:7" x14ac:dyDescent="0.3">
      <c r="A28" s="112" t="s">
        <v>146</v>
      </c>
      <c r="B28" s="113"/>
      <c r="C28" s="113"/>
      <c r="D28" s="48">
        <f>IF($C$17,$D$17,0)</f>
        <v>0</v>
      </c>
      <c r="E28" s="39">
        <f>Config!$B$46</f>
        <v>800</v>
      </c>
      <c r="F28" s="8">
        <f>D28*E28</f>
        <v>0</v>
      </c>
      <c r="G28" s="41" t="s">
        <v>147</v>
      </c>
    </row>
    <row r="29" spans="1:7" x14ac:dyDescent="0.3">
      <c r="A29" s="112" t="s">
        <v>148</v>
      </c>
      <c r="B29" s="113"/>
      <c r="C29" s="113"/>
      <c r="D29" s="48">
        <f>IF($C$19,$D$19,0)</f>
        <v>0</v>
      </c>
      <c r="E29" s="39">
        <f>Config!$B$48</f>
        <v>1600</v>
      </c>
      <c r="F29" s="8">
        <f>D29*E29</f>
        <v>0</v>
      </c>
      <c r="G29" s="41" t="s">
        <v>149</v>
      </c>
    </row>
    <row r="30" spans="1:7" x14ac:dyDescent="0.3">
      <c r="A30" s="112" t="s">
        <v>150</v>
      </c>
      <c r="B30" s="113"/>
      <c r="C30" s="113"/>
      <c r="D30" s="48">
        <f>IF($C$20,$D$20,0)</f>
        <v>0</v>
      </c>
      <c r="E30" s="39">
        <f>Config!$B$49</f>
        <v>2200</v>
      </c>
      <c r="F30" s="8">
        <f>D30*E30</f>
        <v>0</v>
      </c>
      <c r="G30" s="41" t="s">
        <v>151</v>
      </c>
    </row>
    <row r="31" spans="1:7" x14ac:dyDescent="0.3">
      <c r="A31" s="112" t="s">
        <v>152</v>
      </c>
      <c r="B31" s="113"/>
      <c r="C31" s="113"/>
      <c r="D31" s="48">
        <f>IF($C$18,$D$18,0)</f>
        <v>0</v>
      </c>
      <c r="E31" s="39">
        <f>Config!$B$46</f>
        <v>800</v>
      </c>
      <c r="F31" s="8">
        <f>D31*E31</f>
        <v>0</v>
      </c>
      <c r="G31" s="41" t="s">
        <v>153</v>
      </c>
    </row>
    <row r="33" spans="1:7" ht="15.65" x14ac:dyDescent="0.3">
      <c r="A33" s="114" t="s">
        <v>154</v>
      </c>
      <c r="B33" s="115"/>
      <c r="C33" s="115"/>
      <c r="D33" s="115"/>
      <c r="E33" s="115"/>
      <c r="F33" s="51">
        <f>SUM(F28:F31)</f>
        <v>0</v>
      </c>
      <c r="G33" s="15"/>
    </row>
    <row r="35" spans="1:7" ht="17.55" x14ac:dyDescent="0.3">
      <c r="A35" s="121" t="s">
        <v>155</v>
      </c>
      <c r="B35" s="119"/>
      <c r="C35" s="119"/>
      <c r="D35" s="119"/>
      <c r="E35" s="119"/>
      <c r="F35" s="58">
        <f>F24+F33</f>
        <v>0</v>
      </c>
      <c r="G35" s="54"/>
    </row>
    <row r="37" spans="1:7" ht="26" customHeight="1" x14ac:dyDescent="0.3">
      <c r="A37" s="109" t="s">
        <v>156</v>
      </c>
      <c r="B37" s="100"/>
      <c r="C37" s="100"/>
      <c r="D37" s="100"/>
      <c r="E37" s="100"/>
      <c r="F37" s="100"/>
      <c r="G37" s="100"/>
    </row>
    <row r="38" spans="1:7" ht="28.05" customHeight="1" x14ac:dyDescent="0.3">
      <c r="A38" s="110">
        <f>F35</f>
        <v>0</v>
      </c>
      <c r="B38" s="111"/>
      <c r="C38" s="111"/>
      <c r="D38" s="111"/>
      <c r="E38" s="111"/>
      <c r="F38" s="111"/>
      <c r="G38" s="111"/>
    </row>
    <row r="39" spans="1:7" ht="28.05" customHeight="1" x14ac:dyDescent="0.3">
      <c r="A39" s="111"/>
      <c r="B39" s="111"/>
      <c r="C39" s="111"/>
      <c r="D39" s="111"/>
      <c r="E39" s="111"/>
      <c r="F39" s="111"/>
      <c r="G39" s="111"/>
    </row>
    <row r="40" spans="1:7" ht="28.05" customHeight="1" x14ac:dyDescent="0.3">
      <c r="A40" s="111"/>
      <c r="B40" s="111"/>
      <c r="C40" s="111"/>
      <c r="D40" s="111"/>
      <c r="E40" s="111"/>
      <c r="F40" s="111"/>
      <c r="G40" s="111"/>
    </row>
    <row r="41" spans="1:7" ht="20.05" customHeight="1" x14ac:dyDescent="0.3">
      <c r="A41" s="107" t="s">
        <v>157</v>
      </c>
      <c r="B41" s="100"/>
      <c r="C41" s="100"/>
      <c r="D41" s="100"/>
      <c r="E41" s="100"/>
      <c r="F41" s="100"/>
      <c r="G41" s="100"/>
    </row>
    <row r="43" spans="1:7" x14ac:dyDescent="0.3">
      <c r="A43" s="1" t="s">
        <v>102</v>
      </c>
    </row>
    <row r="44" spans="1:7" x14ac:dyDescent="0.3">
      <c r="A44" s="102" t="s">
        <v>158</v>
      </c>
      <c r="B44" s="100"/>
      <c r="C44" s="100"/>
      <c r="D44" s="100"/>
      <c r="E44" s="100"/>
      <c r="F44" s="100"/>
      <c r="G44" s="100"/>
    </row>
    <row r="45" spans="1:7" x14ac:dyDescent="0.3">
      <c r="A45" s="102" t="s">
        <v>159</v>
      </c>
      <c r="B45" s="100"/>
      <c r="C45" s="100"/>
      <c r="D45" s="100"/>
      <c r="E45" s="100"/>
      <c r="F45" s="100"/>
      <c r="G45" s="100"/>
    </row>
    <row r="46" spans="1:7" x14ac:dyDescent="0.3">
      <c r="A46" s="102" t="s">
        <v>160</v>
      </c>
      <c r="B46" s="100"/>
      <c r="C46" s="100"/>
      <c r="D46" s="100"/>
      <c r="E46" s="100"/>
      <c r="F46" s="100"/>
      <c r="G46" s="100"/>
    </row>
    <row r="47" spans="1:7" x14ac:dyDescent="0.3">
      <c r="A47" s="102" t="s">
        <v>161</v>
      </c>
      <c r="B47" s="100"/>
      <c r="C47" s="100"/>
      <c r="D47" s="100"/>
      <c r="E47" s="100"/>
      <c r="F47" s="100"/>
      <c r="G47" s="100"/>
    </row>
    <row r="48" spans="1:7" x14ac:dyDescent="0.3">
      <c r="A48" s="102" t="s">
        <v>162</v>
      </c>
      <c r="B48" s="100"/>
      <c r="C48" s="100"/>
      <c r="D48" s="100"/>
      <c r="E48" s="100"/>
      <c r="F48" s="100"/>
      <c r="G48" s="100"/>
    </row>
    <row r="49" spans="1:7" x14ac:dyDescent="0.3">
      <c r="A49" s="102" t="s">
        <v>163</v>
      </c>
      <c r="B49" s="100"/>
      <c r="C49" s="100"/>
      <c r="D49" s="100"/>
      <c r="E49" s="100"/>
      <c r="F49" s="100"/>
      <c r="G49" s="100"/>
    </row>
    <row r="50" spans="1:7" x14ac:dyDescent="0.3">
      <c r="A50" s="102" t="s">
        <v>164</v>
      </c>
      <c r="B50" s="100"/>
      <c r="C50" s="100"/>
      <c r="D50" s="100"/>
      <c r="E50" s="100"/>
      <c r="F50" s="100"/>
      <c r="G50" s="100"/>
    </row>
    <row r="51" spans="1:7" x14ac:dyDescent="0.3">
      <c r="A51" s="102" t="s">
        <v>165</v>
      </c>
      <c r="B51" s="100"/>
      <c r="C51" s="100"/>
      <c r="D51" s="100"/>
      <c r="E51" s="100"/>
      <c r="F51" s="100"/>
      <c r="G51" s="100"/>
    </row>
    <row r="52" spans="1:7" x14ac:dyDescent="0.3">
      <c r="A52" s="102" t="s">
        <v>166</v>
      </c>
      <c r="B52" s="100"/>
      <c r="C52" s="100"/>
      <c r="D52" s="100"/>
      <c r="E52" s="100"/>
      <c r="F52" s="100"/>
      <c r="G52" s="100"/>
    </row>
  </sheetData>
  <mergeCells count="32">
    <mergeCell ref="A52:G52"/>
    <mergeCell ref="A38:G40"/>
    <mergeCell ref="A44:G44"/>
    <mergeCell ref="A9:G9"/>
    <mergeCell ref="A48:G48"/>
    <mergeCell ref="A29:C29"/>
    <mergeCell ref="A49:G49"/>
    <mergeCell ref="A51:G51"/>
    <mergeCell ref="A45:G45"/>
    <mergeCell ref="A28:C28"/>
    <mergeCell ref="A41:G41"/>
    <mergeCell ref="A37:G37"/>
    <mergeCell ref="A46:G46"/>
    <mergeCell ref="A35:E35"/>
    <mergeCell ref="A50:G50"/>
    <mergeCell ref="A47:G47"/>
    <mergeCell ref="A1:G1"/>
    <mergeCell ref="A31:C31"/>
    <mergeCell ref="A33:E33"/>
    <mergeCell ref="A23:E23"/>
    <mergeCell ref="A30:C30"/>
    <mergeCell ref="A22:E22"/>
    <mergeCell ref="C7:G7"/>
    <mergeCell ref="A10:E10"/>
    <mergeCell ref="A12:G12"/>
    <mergeCell ref="A26:G26"/>
    <mergeCell ref="A2:G2"/>
    <mergeCell ref="A24:E24"/>
    <mergeCell ref="C6:G6"/>
    <mergeCell ref="A8:G8"/>
    <mergeCell ref="A4:G4"/>
    <mergeCell ref="C5:G5"/>
  </mergeCells>
  <conditionalFormatting sqref="A8">
    <cfRule type="expression" dxfId="6" priority="1" stopIfTrue="1">
      <formula>SUMPRODUCT(--(C14:C20&lt;&gt;0),--(D14:D20=0))&gt;0</formula>
    </cfRule>
  </conditionalFormatting>
  <dataValidations count="1">
    <dataValidation type="list" showErrorMessage="1" errorTitle="Invalid" error="Pick one of the three handset models" sqref="A14:A15" xr:uid="{00000000-0002-0000-0300-000000000000}">
      <formula1>"Blackview Fort 1,Blackview BV6200,Oukitel G1S"</formula1>
    </dataValidation>
  </dataValidations>
  <pageMargins left="0.75" right="0.75" top="1" bottom="1" header="0.5" footer="0.5"/>
  <drawing r:id="rId1"/>
  <legacyDrawing r:id="rId2"/>
  <mc:AlternateContent xmlns:mc="http://schemas.openxmlformats.org/markup-compatibility/2006">
    <mc:Choice Requires="x14">
      <controls>
        <mc:AlternateContent xmlns:mc="http://schemas.openxmlformats.org/markup-compatibility/2006">
          <mc:Choice Requires="x14">
            <control shapeId="4097" r:id="rId3" name="Check Box 1">
              <controlPr defaultSize="0" autoFill="0" autoLine="0" autoPict="0">
                <anchor moveWithCells="1">
                  <from>
                    <xdr:col>5</xdr:col>
                    <xdr:colOff>524786</xdr:colOff>
                    <xdr:row>9</xdr:row>
                    <xdr:rowOff>47708</xdr:rowOff>
                  </from>
                  <to>
                    <xdr:col>5</xdr:col>
                    <xdr:colOff>731520</xdr:colOff>
                    <xdr:row>9</xdr:row>
                    <xdr:rowOff>270344</xdr:rowOff>
                  </to>
                </anchor>
              </controlPr>
            </control>
          </mc:Choice>
        </mc:AlternateContent>
        <mc:AlternateContent xmlns:mc="http://schemas.openxmlformats.org/markup-compatibility/2006">
          <mc:Choice Requires="x14">
            <control shapeId="4098" r:id="rId4" name="Check Box 2">
              <controlPr defaultSize="0" autoFill="0" autoLine="0" autoPict="0">
                <anchor moveWithCells="1">
                  <from>
                    <xdr:col>2</xdr:col>
                    <xdr:colOff>318052</xdr:colOff>
                    <xdr:row>13</xdr:row>
                    <xdr:rowOff>47708</xdr:rowOff>
                  </from>
                  <to>
                    <xdr:col>2</xdr:col>
                    <xdr:colOff>516835</xdr:colOff>
                    <xdr:row>13</xdr:row>
                    <xdr:rowOff>270344</xdr:rowOff>
                  </to>
                </anchor>
              </controlPr>
            </control>
          </mc:Choice>
        </mc:AlternateContent>
        <mc:AlternateContent xmlns:mc="http://schemas.openxmlformats.org/markup-compatibility/2006">
          <mc:Choice Requires="x14">
            <control shapeId="4099" r:id="rId5" name="Check Box 3">
              <controlPr defaultSize="0" autoFill="0" autoLine="0" autoPict="0">
                <anchor moveWithCells="1">
                  <from>
                    <xdr:col>2</xdr:col>
                    <xdr:colOff>318052</xdr:colOff>
                    <xdr:row>14</xdr:row>
                    <xdr:rowOff>47708</xdr:rowOff>
                  </from>
                  <to>
                    <xdr:col>2</xdr:col>
                    <xdr:colOff>516835</xdr:colOff>
                    <xdr:row>14</xdr:row>
                    <xdr:rowOff>270344</xdr:rowOff>
                  </to>
                </anchor>
              </controlPr>
            </control>
          </mc:Choice>
        </mc:AlternateContent>
        <mc:AlternateContent xmlns:mc="http://schemas.openxmlformats.org/markup-compatibility/2006">
          <mc:Choice Requires="x14">
            <control shapeId="4100" r:id="rId6" name="Check Box 4">
              <controlPr defaultSize="0" autoFill="0" autoLine="0" autoPict="0">
                <anchor moveWithCells="1">
                  <from>
                    <xdr:col>2</xdr:col>
                    <xdr:colOff>318052</xdr:colOff>
                    <xdr:row>15</xdr:row>
                    <xdr:rowOff>47708</xdr:rowOff>
                  </from>
                  <to>
                    <xdr:col>2</xdr:col>
                    <xdr:colOff>516835</xdr:colOff>
                    <xdr:row>15</xdr:row>
                    <xdr:rowOff>270344</xdr:rowOff>
                  </to>
                </anchor>
              </controlPr>
            </control>
          </mc:Choice>
        </mc:AlternateContent>
        <mc:AlternateContent xmlns:mc="http://schemas.openxmlformats.org/markup-compatibility/2006">
          <mc:Choice Requires="x14">
            <control shapeId="4101" r:id="rId7" name="Check Box 5">
              <controlPr defaultSize="0" autoFill="0" autoLine="0" autoPict="0">
                <anchor moveWithCells="1">
                  <from>
                    <xdr:col>2</xdr:col>
                    <xdr:colOff>318052</xdr:colOff>
                    <xdr:row>16</xdr:row>
                    <xdr:rowOff>47708</xdr:rowOff>
                  </from>
                  <to>
                    <xdr:col>2</xdr:col>
                    <xdr:colOff>516835</xdr:colOff>
                    <xdr:row>16</xdr:row>
                    <xdr:rowOff>270344</xdr:rowOff>
                  </to>
                </anchor>
              </controlPr>
            </control>
          </mc:Choice>
        </mc:AlternateContent>
        <mc:AlternateContent xmlns:mc="http://schemas.openxmlformats.org/markup-compatibility/2006">
          <mc:Choice Requires="x14">
            <control shapeId="4102" r:id="rId8" name="Check Box 6">
              <controlPr defaultSize="0" autoFill="0" autoLine="0" autoPict="0">
                <anchor moveWithCells="1">
                  <from>
                    <xdr:col>2</xdr:col>
                    <xdr:colOff>318052</xdr:colOff>
                    <xdr:row>17</xdr:row>
                    <xdr:rowOff>47708</xdr:rowOff>
                  </from>
                  <to>
                    <xdr:col>2</xdr:col>
                    <xdr:colOff>516835</xdr:colOff>
                    <xdr:row>17</xdr:row>
                    <xdr:rowOff>270344</xdr:rowOff>
                  </to>
                </anchor>
              </controlPr>
            </control>
          </mc:Choice>
        </mc:AlternateContent>
        <mc:AlternateContent xmlns:mc="http://schemas.openxmlformats.org/markup-compatibility/2006">
          <mc:Choice Requires="x14">
            <control shapeId="4103" r:id="rId9" name="Check Box 7">
              <controlPr defaultSize="0" autoFill="0" autoLine="0" autoPict="0">
                <anchor moveWithCells="1">
                  <from>
                    <xdr:col>2</xdr:col>
                    <xdr:colOff>318052</xdr:colOff>
                    <xdr:row>18</xdr:row>
                    <xdr:rowOff>47708</xdr:rowOff>
                  </from>
                  <to>
                    <xdr:col>2</xdr:col>
                    <xdr:colOff>516835</xdr:colOff>
                    <xdr:row>18</xdr:row>
                    <xdr:rowOff>270344</xdr:rowOff>
                  </to>
                </anchor>
              </controlPr>
            </control>
          </mc:Choice>
        </mc:AlternateContent>
        <mc:AlternateContent xmlns:mc="http://schemas.openxmlformats.org/markup-compatibility/2006">
          <mc:Choice Requires="x14">
            <control shapeId="4104" r:id="rId10" name="Check Box 8">
              <controlPr defaultSize="0" autoFill="0" autoLine="0" autoPict="0">
                <anchor moveWithCells="1">
                  <from>
                    <xdr:col>2</xdr:col>
                    <xdr:colOff>318052</xdr:colOff>
                    <xdr:row>19</xdr:row>
                    <xdr:rowOff>47708</xdr:rowOff>
                  </from>
                  <to>
                    <xdr:col>2</xdr:col>
                    <xdr:colOff>516835</xdr:colOff>
                    <xdr:row>19</xdr:row>
                    <xdr:rowOff>270344</xdr:rowOff>
                  </to>
                </anchor>
              </controlPr>
            </control>
          </mc:Choice>
        </mc:AlternateContent>
      </controls>
    </mc:Choice>
  </mc:AlternateContent>
</worksheet>
</file>

<file path=xl/worksheets/sheet3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400-000000000000}">
  <dimension ref="A1:I45"/>
  <sheetViews>
    <sheetView topLeftCell="A3" workbookViewId="0">
      <selection activeCell="J10" sqref="J10:J16"/>
    </sheetView>
  </sheetViews>
  <sheetFormatPr defaultRowHeight="15.05" x14ac:dyDescent="0.3"/>
  <cols>
    <col min="1" max="1" width="49.33203125" customWidth="1"/>
    <col min="2" max="2" width="18" customWidth="1"/>
    <col min="3" max="5" width="14" customWidth="1"/>
    <col min="6" max="6" width="30.109375" customWidth="1"/>
    <col min="7" max="7" width="10.109375" bestFit="1" customWidth="1"/>
    <col min="8" max="8" width="8.88671875" style="96"/>
  </cols>
  <sheetData>
    <row r="1" spans="1:6" ht="25.05" x14ac:dyDescent="0.4">
      <c r="A1" s="103" t="s">
        <v>167</v>
      </c>
      <c r="B1" s="100"/>
      <c r="C1" s="100"/>
      <c r="D1" s="100"/>
      <c r="E1" s="100"/>
      <c r="F1" s="100"/>
    </row>
    <row r="2" spans="1:6" x14ac:dyDescent="0.3">
      <c r="A2" s="102" t="s">
        <v>168</v>
      </c>
      <c r="B2" s="100"/>
      <c r="C2" s="100"/>
      <c r="D2" s="100"/>
      <c r="E2" s="100"/>
      <c r="F2" s="100"/>
    </row>
    <row r="4" spans="1:6" ht="17.55" x14ac:dyDescent="0.3">
      <c r="A4" s="101" t="s">
        <v>169</v>
      </c>
      <c r="B4" s="100"/>
      <c r="C4" s="100"/>
      <c r="D4" s="100"/>
      <c r="E4" s="100"/>
      <c r="F4" s="100"/>
    </row>
    <row r="5" spans="1:6" x14ac:dyDescent="0.3">
      <c r="A5" s="5" t="s">
        <v>170</v>
      </c>
      <c r="B5" s="3">
        <v>36</v>
      </c>
      <c r="C5" s="102" t="s">
        <v>171</v>
      </c>
      <c r="D5" s="100"/>
      <c r="E5" s="100"/>
      <c r="F5" s="100"/>
    </row>
    <row r="6" spans="1:6" x14ac:dyDescent="0.3">
      <c r="A6" s="5" t="s">
        <v>172</v>
      </c>
      <c r="B6" s="59" t="s">
        <v>173</v>
      </c>
      <c r="C6" s="102" t="s">
        <v>174</v>
      </c>
      <c r="D6" s="100"/>
      <c r="E6" s="100"/>
      <c r="F6" s="100"/>
    </row>
    <row r="7" spans="1:6" x14ac:dyDescent="0.3">
      <c r="A7" s="5" t="s">
        <v>175</v>
      </c>
      <c r="B7" s="11">
        <f>Config!$B$58</f>
        <v>0.18</v>
      </c>
      <c r="C7" s="102" t="s">
        <v>176</v>
      </c>
      <c r="D7" s="100"/>
      <c r="E7" s="100"/>
      <c r="F7" s="100"/>
    </row>
    <row r="8" spans="1:6" x14ac:dyDescent="0.3">
      <c r="A8" s="5" t="s">
        <v>177</v>
      </c>
      <c r="B8" s="60">
        <f>-PMT(B7/12,B5,1)</f>
        <v>3.6152395535916843E-2</v>
      </c>
      <c r="C8" s="102" t="s">
        <v>178</v>
      </c>
      <c r="D8" s="100"/>
      <c r="E8" s="100"/>
      <c r="F8" s="100"/>
    </row>
    <row r="10" spans="1:6" ht="17.55" x14ac:dyDescent="0.3">
      <c r="A10" s="101" t="s">
        <v>179</v>
      </c>
      <c r="B10" s="100"/>
      <c r="C10" s="100"/>
      <c r="D10" s="100"/>
      <c r="E10" s="100"/>
      <c r="F10" s="100"/>
    </row>
    <row r="11" spans="1:6" x14ac:dyDescent="0.3">
      <c r="A11" s="5" t="s">
        <v>79</v>
      </c>
      <c r="B11" s="46">
        <v>140</v>
      </c>
    </row>
    <row r="12" spans="1:6" x14ac:dyDescent="0.3">
      <c r="A12" s="5" t="s">
        <v>180</v>
      </c>
      <c r="B12" s="61">
        <f>Calculator!E23</f>
        <v>19391.333333333332</v>
      </c>
    </row>
    <row r="13" spans="1:6" x14ac:dyDescent="0.3">
      <c r="A13" s="5" t="s">
        <v>181</v>
      </c>
      <c r="B13" s="61">
        <f>Hardware!F24</f>
        <v>0</v>
      </c>
    </row>
    <row r="14" spans="1:6" x14ac:dyDescent="0.3">
      <c r="A14" s="5" t="s">
        <v>182</v>
      </c>
      <c r="B14" s="61">
        <f>Hardware!F33</f>
        <v>0</v>
      </c>
    </row>
    <row r="15" spans="1:6" x14ac:dyDescent="0.3">
      <c r="A15" s="5" t="s">
        <v>183</v>
      </c>
      <c r="B15" s="61">
        <f>Hardware!F35</f>
        <v>0</v>
      </c>
    </row>
    <row r="17" spans="1:9" ht="17.55" x14ac:dyDescent="0.3">
      <c r="A17" s="101" t="s">
        <v>184</v>
      </c>
      <c r="B17" s="100"/>
      <c r="C17" s="100"/>
      <c r="D17" s="100"/>
      <c r="E17" s="100"/>
      <c r="F17" s="100"/>
    </row>
    <row r="18" spans="1:9" x14ac:dyDescent="0.3">
      <c r="A18" s="56" t="s">
        <v>185</v>
      </c>
      <c r="B18" s="7">
        <f>B12</f>
        <v>19391.333333333332</v>
      </c>
    </row>
    <row r="19" spans="1:9" x14ac:dyDescent="0.3">
      <c r="A19" s="56" t="s">
        <v>186</v>
      </c>
      <c r="B19" s="7">
        <f>-PMT(B7/12,B5,B15)</f>
        <v>0</v>
      </c>
      <c r="C19" s="102" t="s">
        <v>187</v>
      </c>
      <c r="D19" s="100"/>
      <c r="E19" s="100"/>
      <c r="F19" s="100"/>
      <c r="G19" s="95"/>
    </row>
    <row r="20" spans="1:9" ht="16.899999999999999" x14ac:dyDescent="0.3">
      <c r="A20" s="57" t="s">
        <v>188</v>
      </c>
      <c r="B20" s="55">
        <f>B18+B19</f>
        <v>19391.333333333332</v>
      </c>
    </row>
    <row r="21" spans="1:9" x14ac:dyDescent="0.3">
      <c r="A21" s="42" t="s">
        <v>189</v>
      </c>
      <c r="B21" s="8">
        <f>IFERROR(B20/B11,0)</f>
        <v>138.50952380952381</v>
      </c>
      <c r="G21" s="96"/>
    </row>
    <row r="22" spans="1:9" x14ac:dyDescent="0.3">
      <c r="A22" s="42" t="s">
        <v>190</v>
      </c>
      <c r="B22" s="7">
        <f>B20*B5</f>
        <v>698088</v>
      </c>
    </row>
    <row r="23" spans="1:9" x14ac:dyDescent="0.3">
      <c r="A23" s="44" t="s">
        <v>191</v>
      </c>
      <c r="B23" s="62">
        <f>Hardware!F35+Implementation!F23</f>
        <v>139125</v>
      </c>
      <c r="C23" s="102" t="s">
        <v>192</v>
      </c>
      <c r="D23" s="100"/>
      <c r="E23" s="100"/>
      <c r="F23" s="100"/>
      <c r="I23" s="96"/>
    </row>
    <row r="25" spans="1:9" ht="17.55" x14ac:dyDescent="0.3">
      <c r="A25" s="101" t="s">
        <v>193</v>
      </c>
      <c r="B25" s="100"/>
      <c r="C25" s="100"/>
      <c r="D25" s="100"/>
      <c r="E25" s="100"/>
      <c r="F25" s="100"/>
    </row>
    <row r="26" spans="1:9" x14ac:dyDescent="0.3">
      <c r="A26" s="56" t="s">
        <v>194</v>
      </c>
      <c r="B26" s="7">
        <f>B21</f>
        <v>138.50952380952381</v>
      </c>
      <c r="C26" s="102" t="s">
        <v>195</v>
      </c>
      <c r="D26" s="100"/>
      <c r="E26" s="100"/>
      <c r="F26" s="100"/>
    </row>
    <row r="27" spans="1:9" x14ac:dyDescent="0.3">
      <c r="A27" s="56" t="s">
        <v>196</v>
      </c>
      <c r="B27" s="8">
        <f>IFERROR(B12/B11,0)+IF(B6="Pure Rental",IFERROR(B13*Config!$B$59/B11,0),0)</f>
        <v>138.50952380952381</v>
      </c>
      <c r="C27" s="102" t="s">
        <v>197</v>
      </c>
      <c r="D27" s="100"/>
      <c r="E27" s="100"/>
      <c r="F27" s="100"/>
    </row>
    <row r="28" spans="1:9" x14ac:dyDescent="0.3">
      <c r="A28" s="42" t="s">
        <v>198</v>
      </c>
      <c r="B28" s="63">
        <f>IFERROR(1-B27/B21,0)</f>
        <v>0</v>
      </c>
    </row>
    <row r="30" spans="1:9" x14ac:dyDescent="0.3">
      <c r="A30" s="122" t="str">
        <f>IF(B6="Pure Rental","MODE: Pure Rental — Sunstone retains ownership; monthly fee is typically a fully-deductible operating expense for the customer (confirm with their tax advisor). Hardware is not contractually transferred (preserves operating-lease treatment).","MODE: Rent-to-Own — customer owns the hardware at end of term; treated like a financed purchase for tax (customer capitalises &amp; depreciates). Renewal = software only on owned kit.")</f>
        <v>MODE: Pure Rental — Sunstone retains ownership; monthly fee is typically a fully-deductible operating expense for the customer (confirm with their tax advisor). Hardware is not contractually transferred (preserves operating-lease treatment).</v>
      </c>
      <c r="B30" s="100"/>
      <c r="C30" s="100"/>
      <c r="D30" s="100"/>
      <c r="E30" s="100"/>
      <c r="F30" s="100"/>
    </row>
    <row r="31" spans="1:9" x14ac:dyDescent="0.3">
      <c r="A31" s="100"/>
      <c r="B31" s="100"/>
      <c r="C31" s="100"/>
      <c r="D31" s="100"/>
      <c r="E31" s="100"/>
      <c r="F31" s="100"/>
    </row>
    <row r="33" spans="1:6" ht="26" customHeight="1" x14ac:dyDescent="0.3">
      <c r="A33" s="109" t="s">
        <v>199</v>
      </c>
      <c r="B33" s="100"/>
      <c r="C33" s="100"/>
      <c r="D33" s="100"/>
      <c r="E33" s="100"/>
      <c r="F33" s="100"/>
    </row>
    <row r="34" spans="1:6" ht="28.05" customHeight="1" x14ac:dyDescent="0.3">
      <c r="A34" s="110">
        <f>B21</f>
        <v>138.50952380952381</v>
      </c>
      <c r="B34" s="111"/>
      <c r="C34" s="111"/>
      <c r="D34" s="111"/>
      <c r="E34" s="111"/>
      <c r="F34" s="111"/>
    </row>
    <row r="35" spans="1:6" ht="28.05" customHeight="1" x14ac:dyDescent="0.3">
      <c r="A35" s="111"/>
      <c r="B35" s="111"/>
      <c r="C35" s="111"/>
      <c r="D35" s="111"/>
      <c r="E35" s="111"/>
      <c r="F35" s="111"/>
    </row>
    <row r="36" spans="1:6" ht="28.05" customHeight="1" x14ac:dyDescent="0.3">
      <c r="A36" s="111"/>
      <c r="B36" s="111"/>
      <c r="C36" s="111"/>
      <c r="D36" s="111"/>
      <c r="E36" s="111"/>
      <c r="F36" s="111"/>
    </row>
    <row r="37" spans="1:6" ht="20.05" customHeight="1" x14ac:dyDescent="0.3">
      <c r="A37" s="107" t="str">
        <f>B5&amp;"-month term  •  "&amp;B6&amp;"  •  zero upfront — software, hardware &amp; installation in one monthly fee"</f>
        <v>36-month term  •  Pure Rental  •  zero upfront — software, hardware &amp; installation in one monthly fee</v>
      </c>
      <c r="B37" s="100"/>
      <c r="C37" s="100"/>
      <c r="D37" s="100"/>
      <c r="E37" s="100"/>
      <c r="F37" s="100"/>
    </row>
    <row r="39" spans="1:6" x14ac:dyDescent="0.3">
      <c r="A39" s="1" t="s">
        <v>102</v>
      </c>
    </row>
    <row r="40" spans="1:6" x14ac:dyDescent="0.3">
      <c r="A40" s="102" t="s">
        <v>200</v>
      </c>
      <c r="B40" s="100"/>
      <c r="C40" s="100"/>
      <c r="D40" s="100"/>
      <c r="E40" s="100"/>
      <c r="F40" s="100"/>
    </row>
    <row r="41" spans="1:6" x14ac:dyDescent="0.3">
      <c r="A41" s="102" t="s">
        <v>201</v>
      </c>
      <c r="B41" s="100"/>
      <c r="C41" s="100"/>
      <c r="D41" s="100"/>
      <c r="E41" s="100"/>
      <c r="F41" s="100"/>
    </row>
    <row r="42" spans="1:6" x14ac:dyDescent="0.3">
      <c r="A42" s="102" t="s">
        <v>202</v>
      </c>
      <c r="B42" s="100"/>
      <c r="C42" s="100"/>
      <c r="D42" s="100"/>
      <c r="E42" s="100"/>
      <c r="F42" s="100"/>
    </row>
    <row r="43" spans="1:6" x14ac:dyDescent="0.3">
      <c r="A43" s="102" t="s">
        <v>203</v>
      </c>
      <c r="B43" s="100"/>
      <c r="C43" s="100"/>
      <c r="D43" s="100"/>
      <c r="E43" s="100"/>
      <c r="F43" s="100"/>
    </row>
    <row r="44" spans="1:6" x14ac:dyDescent="0.3">
      <c r="A44" s="102" t="s">
        <v>204</v>
      </c>
      <c r="B44" s="100"/>
      <c r="C44" s="100"/>
      <c r="D44" s="100"/>
      <c r="E44" s="100"/>
      <c r="F44" s="100"/>
    </row>
    <row r="45" spans="1:6" x14ac:dyDescent="0.3">
      <c r="A45" s="102" t="s">
        <v>205</v>
      </c>
      <c r="B45" s="100"/>
      <c r="C45" s="100"/>
      <c r="D45" s="100"/>
      <c r="E45" s="100"/>
      <c r="F45" s="100"/>
    </row>
  </sheetData>
  <mergeCells count="24">
    <mergeCell ref="A4:F4"/>
    <mergeCell ref="C5:F5"/>
    <mergeCell ref="A41:F41"/>
    <mergeCell ref="C23:F23"/>
    <mergeCell ref="C8:F8"/>
    <mergeCell ref="A37:F37"/>
    <mergeCell ref="C7:F7"/>
    <mergeCell ref="C19:F19"/>
    <mergeCell ref="A1:F1"/>
    <mergeCell ref="A45:F45"/>
    <mergeCell ref="C27:F27"/>
    <mergeCell ref="A25:F25"/>
    <mergeCell ref="A43:F43"/>
    <mergeCell ref="A10:F10"/>
    <mergeCell ref="A44:F44"/>
    <mergeCell ref="C26:F26"/>
    <mergeCell ref="A40:F40"/>
    <mergeCell ref="A34:F36"/>
    <mergeCell ref="A2:F2"/>
    <mergeCell ref="A33:F33"/>
    <mergeCell ref="A42:F42"/>
    <mergeCell ref="A30:F31"/>
    <mergeCell ref="C6:F6"/>
    <mergeCell ref="A17:F17"/>
  </mergeCells>
  <dataValidations count="2">
    <dataValidation type="list" sqref="B5" xr:uid="{00000000-0002-0000-0400-000000000000}">
      <formula1>"12,24,36"</formula1>
    </dataValidation>
    <dataValidation type="list" sqref="B6" xr:uid="{00000000-0002-0000-0400-000001000000}">
      <formula1>"Pure Rental,Rent-to-Own"</formula1>
    </dataValidation>
  </dataValidations>
  <pageMargins left="0.75" right="0.75" top="1" bottom="1" header="0.5" footer="0.5"/>
</worksheet>
</file>

<file path=xl/worksheets/sheet4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200-000000000000}">
  <dimension ref="A1:G38"/>
  <sheetViews>
    <sheetView workbookViewId="0">
      <selection activeCell="B19" sqref="B19"/>
    </sheetView>
  </sheetViews>
  <sheetFormatPr defaultRowHeight="15.05" x14ac:dyDescent="0.3"/>
  <cols>
    <col min="1" max="1" width="36" customWidth="1"/>
    <col min="2" max="2" width="12.21875" bestFit="1" customWidth="1"/>
    <col min="3" max="3" width="12" customWidth="1"/>
    <col min="4" max="4" width="14" customWidth="1"/>
    <col min="5" max="5" width="12" customWidth="1"/>
    <col min="6" max="6" width="22.88671875" bestFit="1" customWidth="1"/>
    <col min="7" max="7" width="40" customWidth="1"/>
  </cols>
  <sheetData>
    <row r="1" spans="1:7" ht="25.05" x14ac:dyDescent="0.4">
      <c r="A1" s="103" t="s">
        <v>76</v>
      </c>
      <c r="B1" s="100"/>
      <c r="C1" s="100"/>
      <c r="D1" s="100"/>
      <c r="E1" s="100"/>
      <c r="F1" s="100"/>
      <c r="G1" s="100"/>
    </row>
    <row r="2" spans="1:7" x14ac:dyDescent="0.3">
      <c r="A2" s="102" t="s">
        <v>77</v>
      </c>
      <c r="B2" s="100"/>
      <c r="C2" s="100"/>
      <c r="D2" s="100"/>
      <c r="E2" s="100"/>
      <c r="F2" s="100"/>
      <c r="G2" s="100"/>
    </row>
    <row r="4" spans="1:7" x14ac:dyDescent="0.3">
      <c r="A4" s="1" t="s">
        <v>78</v>
      </c>
      <c r="B4" s="124" t="str">
        <f>Calculator!B4</f>
        <v>Zambia Sugar</v>
      </c>
      <c r="C4" s="100"/>
      <c r="D4" s="100"/>
      <c r="E4" s="100"/>
      <c r="F4" s="100"/>
      <c r="G4" s="100"/>
    </row>
    <row r="5" spans="1:7" x14ac:dyDescent="0.3">
      <c r="A5" s="1" t="s">
        <v>79</v>
      </c>
      <c r="B5" s="37">
        <f>Calculator!B6</f>
        <v>20</v>
      </c>
    </row>
    <row r="6" spans="1:7" x14ac:dyDescent="0.3">
      <c r="A6" s="1" t="s">
        <v>80</v>
      </c>
      <c r="B6" s="20">
        <f ca="1">Calculator!B5</f>
        <v>46203</v>
      </c>
    </row>
    <row r="8" spans="1:7" ht="17.55" x14ac:dyDescent="0.3">
      <c r="A8" s="101" t="s">
        <v>81</v>
      </c>
      <c r="B8" s="100"/>
      <c r="C8" s="100"/>
      <c r="D8" s="100"/>
      <c r="E8" s="100"/>
      <c r="F8" s="100"/>
      <c r="G8" s="100"/>
    </row>
    <row r="9" spans="1:7" ht="28.05" customHeight="1" x14ac:dyDescent="0.3">
      <c r="A9" s="4" t="s">
        <v>52</v>
      </c>
      <c r="B9" s="4" t="s">
        <v>53</v>
      </c>
      <c r="C9" s="4" t="s">
        <v>82</v>
      </c>
      <c r="D9" s="4" t="s">
        <v>54</v>
      </c>
      <c r="E9" s="4" t="s">
        <v>83</v>
      </c>
      <c r="F9" s="4" t="s">
        <v>56</v>
      </c>
      <c r="G9" s="4" t="s">
        <v>68</v>
      </c>
    </row>
    <row r="10" spans="1:7" ht="22.1" customHeight="1" x14ac:dyDescent="0.3">
      <c r="A10" s="5" t="s">
        <v>84</v>
      </c>
      <c r="B10" s="38">
        <v>30</v>
      </c>
      <c r="C10" s="93" t="b">
        <v>1</v>
      </c>
      <c r="D10" s="39">
        <f>IF(C10,Config!$B$31,Config!$B$30)</f>
        <v>1325</v>
      </c>
      <c r="E10" s="40">
        <v>0</v>
      </c>
      <c r="F10" s="8">
        <f t="shared" ref="F10:F15" si="0">B10*D10*(1-E10)</f>
        <v>39750</v>
      </c>
      <c r="G10" s="41"/>
    </row>
    <row r="11" spans="1:7" ht="22.1" customHeight="1" x14ac:dyDescent="0.3">
      <c r="A11" s="5" t="s">
        <v>85</v>
      </c>
      <c r="B11" s="38">
        <v>15</v>
      </c>
      <c r="C11" s="93" t="b">
        <v>1</v>
      </c>
      <c r="D11" s="39">
        <f>IF(C11,Config!$B$31,Config!$B$30)</f>
        <v>1325</v>
      </c>
      <c r="E11" s="40">
        <v>0</v>
      </c>
      <c r="F11" s="8">
        <f t="shared" si="0"/>
        <v>19875</v>
      </c>
      <c r="G11" s="41"/>
    </row>
    <row r="12" spans="1:7" ht="22.1" customHeight="1" x14ac:dyDescent="0.3">
      <c r="A12" s="5" t="s">
        <v>86</v>
      </c>
      <c r="B12" s="38">
        <v>10</v>
      </c>
      <c r="C12" s="93" t="b">
        <v>1</v>
      </c>
      <c r="D12" s="39">
        <f>IF(C12,Config!$B$31,Config!$B$30)</f>
        <v>1325</v>
      </c>
      <c r="E12" s="40">
        <v>0</v>
      </c>
      <c r="F12" s="8">
        <f t="shared" si="0"/>
        <v>13250</v>
      </c>
      <c r="G12" s="41"/>
    </row>
    <row r="13" spans="1:7" ht="22.1" customHeight="1" x14ac:dyDescent="0.3">
      <c r="A13" s="5" t="s">
        <v>87</v>
      </c>
      <c r="B13" s="38">
        <v>5</v>
      </c>
      <c r="C13" s="93" t="b">
        <v>1</v>
      </c>
      <c r="D13" s="39">
        <f>IF(C13,Config!$B$31,Config!$B$30)</f>
        <v>1325</v>
      </c>
      <c r="E13" s="40">
        <v>0</v>
      </c>
      <c r="F13" s="8">
        <f t="shared" si="0"/>
        <v>6625</v>
      </c>
      <c r="G13" s="41"/>
    </row>
    <row r="14" spans="1:7" ht="22.1" customHeight="1" x14ac:dyDescent="0.3">
      <c r="A14" s="5" t="s">
        <v>88</v>
      </c>
      <c r="B14" s="38">
        <v>10</v>
      </c>
      <c r="C14" s="93" t="b">
        <v>1</v>
      </c>
      <c r="D14" s="39">
        <f>IF(C14,Config!$B$31,Config!$B$30)</f>
        <v>1325</v>
      </c>
      <c r="E14" s="40">
        <v>0</v>
      </c>
      <c r="F14" s="8">
        <f t="shared" si="0"/>
        <v>13250</v>
      </c>
      <c r="G14" s="41"/>
    </row>
    <row r="15" spans="1:7" ht="22.1" customHeight="1" x14ac:dyDescent="0.3">
      <c r="A15" s="5" t="s">
        <v>89</v>
      </c>
      <c r="B15" s="38">
        <v>5</v>
      </c>
      <c r="C15" s="93" t="b">
        <v>1</v>
      </c>
      <c r="D15" s="39">
        <f>IF(C15,Config!$B$31,Config!$B$30)</f>
        <v>1325</v>
      </c>
      <c r="E15" s="40">
        <v>0</v>
      </c>
      <c r="F15" s="8">
        <f t="shared" si="0"/>
        <v>6625</v>
      </c>
      <c r="G15" s="41"/>
    </row>
    <row r="16" spans="1:7" ht="22.1" customHeight="1" x14ac:dyDescent="0.3">
      <c r="A16" s="5" t="s">
        <v>90</v>
      </c>
      <c r="B16" s="38">
        <v>5</v>
      </c>
      <c r="C16" s="93" t="b">
        <v>1</v>
      </c>
      <c r="D16" s="39">
        <f>IF(C16,Config!$B$31,Config!$B$30)</f>
        <v>1325</v>
      </c>
      <c r="E16" s="40">
        <v>0</v>
      </c>
      <c r="F16" s="8">
        <f>IF(Calculator!B10,B16*D16*(1-E16),0)</f>
        <v>6625</v>
      </c>
      <c r="G16" s="41" t="str">
        <f>IF(Calculator!B10,"Billed (product selected)","Not billed (product not selected)")</f>
        <v>Billed (product selected)</v>
      </c>
    </row>
    <row r="17" spans="1:7" ht="22.1" customHeight="1" x14ac:dyDescent="0.3">
      <c r="A17" s="5" t="s">
        <v>91</v>
      </c>
      <c r="B17" s="38">
        <v>5</v>
      </c>
      <c r="C17" s="93" t="b">
        <v>1</v>
      </c>
      <c r="D17" s="39">
        <f>IF(C17,Config!$B$31,Config!$B$30)</f>
        <v>1325</v>
      </c>
      <c r="E17" s="40">
        <v>0</v>
      </c>
      <c r="F17" s="8">
        <f>IF(Calculator!B11,B17*D17*(1-E17),0)</f>
        <v>6625</v>
      </c>
      <c r="G17" s="41" t="str">
        <f>IF(Calculator!B11,"Billed (product selected)","Not billed (product not selected)")</f>
        <v>Billed (product selected)</v>
      </c>
    </row>
    <row r="18" spans="1:7" ht="22.1" customHeight="1" x14ac:dyDescent="0.3">
      <c r="A18" s="5" t="s">
        <v>92</v>
      </c>
      <c r="B18" s="38">
        <v>10</v>
      </c>
      <c r="C18" s="93" t="b">
        <v>1</v>
      </c>
      <c r="D18" s="39">
        <f>IF(C18,Config!$B$31,Config!$B$30)</f>
        <v>1325</v>
      </c>
      <c r="E18" s="40">
        <v>0</v>
      </c>
      <c r="F18" s="8">
        <f>IF(Calculator!B12,B18*D18*(1-E18),0)</f>
        <v>13250</v>
      </c>
      <c r="G18" s="41" t="str">
        <f>IF(Calculator!B12,"Billed (product selected)","Not billed (product not selected)")</f>
        <v>Billed (product selected)</v>
      </c>
    </row>
    <row r="19" spans="1:7" ht="22.1" customHeight="1" x14ac:dyDescent="0.3">
      <c r="A19" s="5" t="s">
        <v>93</v>
      </c>
      <c r="B19" s="38">
        <v>10</v>
      </c>
      <c r="C19" s="93" t="b">
        <v>1</v>
      </c>
      <c r="D19" s="39">
        <f>IF(C19,Config!$B$31,Config!$B$30)</f>
        <v>1325</v>
      </c>
      <c r="E19" s="40">
        <v>0</v>
      </c>
      <c r="F19" s="8">
        <f>IF(Calculator!B13,B19*D19*(1-E19),0)</f>
        <v>13250</v>
      </c>
      <c r="G19" s="41" t="str">
        <f>IF(Calculator!B13,"Billed (product selected)","Not billed (product not selected)")</f>
        <v>Billed (product selected)</v>
      </c>
    </row>
    <row r="20" spans="1:7" ht="22.1" customHeight="1" x14ac:dyDescent="0.3">
      <c r="A20" s="5" t="s">
        <v>94</v>
      </c>
      <c r="B20" s="38">
        <v>10</v>
      </c>
      <c r="C20" s="93">
        <v>0</v>
      </c>
      <c r="D20" s="39">
        <f>IF(C20,Config!$B$31,Config!$B$30)</f>
        <v>1000</v>
      </c>
      <c r="E20" s="40">
        <v>0</v>
      </c>
      <c r="F20" s="8">
        <f>IF(Calculator!B14,B20*D20*(1-E20),0)</f>
        <v>0</v>
      </c>
      <c r="G20" s="41" t="str">
        <f>IF(Calculator!B14,"Billed (product selected)","Not billed (product not selected)")</f>
        <v>Not billed (product not selected)</v>
      </c>
    </row>
    <row r="21" spans="1:7" ht="22.1" customHeight="1" x14ac:dyDescent="0.3">
      <c r="A21" s="5" t="s">
        <v>95</v>
      </c>
      <c r="B21" s="38">
        <v>40</v>
      </c>
      <c r="C21" s="93" t="b">
        <v>1</v>
      </c>
      <c r="D21" s="39">
        <f>IF(C21,Config!$B$31,Config!$B$30)</f>
        <v>1325</v>
      </c>
      <c r="E21" s="40">
        <v>1</v>
      </c>
      <c r="F21" s="8">
        <f>B21*D21*(1-E21)</f>
        <v>0</v>
      </c>
      <c r="G21" s="41" t="s">
        <v>96</v>
      </c>
    </row>
    <row r="23" spans="1:7" ht="17.55" x14ac:dyDescent="0.3">
      <c r="A23" s="125" t="s">
        <v>97</v>
      </c>
      <c r="B23" s="115"/>
      <c r="C23" s="115"/>
      <c r="D23" s="115"/>
      <c r="E23" s="115"/>
      <c r="F23" s="16">
        <f>SUM(F10:F21)</f>
        <v>139125</v>
      </c>
      <c r="G23" s="15"/>
    </row>
    <row r="24" spans="1:7" x14ac:dyDescent="0.3">
      <c r="A24" s="116" t="s">
        <v>98</v>
      </c>
      <c r="B24" s="105"/>
      <c r="C24" s="105"/>
      <c r="D24" s="105"/>
      <c r="E24" s="106"/>
      <c r="F24" s="43">
        <f>B10*(1-E10)+B11*(1-E11)+B12*(1-E12)+B13*(1-E13)+B14*(1-E14)+B15*(1-E15)+IF(Calculator!B10,B16*(1-E16),0)+IF(Calculator!B11,B17*(1-E17),0)+IF(Calculator!B12,B18*(1-E18),0)+IF(Calculator!B13,B19*(1-E19),0)+IF(Calculator!B14,B20*(1-E20),0)+B21*(1-E21)</f>
        <v>105</v>
      </c>
    </row>
    <row r="25" spans="1:7" x14ac:dyDescent="0.3">
      <c r="A25" s="123" t="s">
        <v>99</v>
      </c>
      <c r="B25" s="105"/>
      <c r="C25" s="105"/>
      <c r="D25" s="105"/>
      <c r="E25" s="106"/>
      <c r="F25" s="45" t="str">
        <f>(IF(C10,B10*(1-E10),0)+IF(C11,B11*(1-E11),0)+IF(C12,B12*(1-E12),0)+IF(C13,B13*(1-E13),0)+IF(C14,B14*(1-E14),0)+IF(C15,B15*(1-E15),0)+IF(AND(Calculator!B10,C16),B16*(1-E16),0)+IF(AND(Calculator!B11,C17),B17*(1-E17),0)+IF(AND(Calculator!B12,C18),B18*(1-E18),0)+IF(AND(Calculator!B13,C19),B19*(1-E19),0)+IF(AND(Calculator!B14,C20),B20*(1-E20),0)+IF(C21,B21*(1-E21),0))&amp;" Senior  /  "&amp;(IF(C10,0,B10*(1-E10))+IF(C11,0,B11*(1-E11))+IF(C12,0,B12*(1-E12))+IF(C13,0,B13*(1-E13))+IF(C14,0,B14*(1-E14))+IF(C15,0,B15*(1-E15))+IF(AND(Calculator!B10,NOT(C16)),B16*(1-E16),0)+IF(AND(Calculator!B11,NOT(C17)),B17*(1-E17),0)+IF(AND(Calculator!B12,NOT(C18)),B18*(1-E18),0)+IF(AND(Calculator!B13,NOT(C19)),B19*(1-E19),0)+IF(AND(Calculator!B14,NOT(C20)),B20*(1-E20),0)+IF(C21,0,B21*(1-E21)))&amp;" Consultant"</f>
        <v>105 Senior  /  0 Consultant</v>
      </c>
    </row>
    <row r="27" spans="1:7" ht="26" customHeight="1" x14ac:dyDescent="0.3">
      <c r="A27" s="109" t="s">
        <v>100</v>
      </c>
      <c r="B27" s="100"/>
      <c r="C27" s="100"/>
      <c r="D27" s="100"/>
      <c r="E27" s="100"/>
      <c r="F27" s="100"/>
      <c r="G27" s="100"/>
    </row>
    <row r="28" spans="1:7" ht="28.05" customHeight="1" x14ac:dyDescent="0.3">
      <c r="A28" s="110">
        <f>F23</f>
        <v>139125</v>
      </c>
      <c r="B28" s="111"/>
      <c r="C28" s="111"/>
      <c r="D28" s="111"/>
      <c r="E28" s="111"/>
      <c r="F28" s="111"/>
      <c r="G28" s="111"/>
    </row>
    <row r="29" spans="1:7" ht="28.05" customHeight="1" x14ac:dyDescent="0.3">
      <c r="A29" s="111"/>
      <c r="B29" s="111"/>
      <c r="C29" s="111"/>
      <c r="D29" s="111"/>
      <c r="E29" s="111"/>
      <c r="F29" s="111"/>
      <c r="G29" s="111"/>
    </row>
    <row r="30" spans="1:7" ht="28.05" customHeight="1" x14ac:dyDescent="0.3">
      <c r="A30" s="111"/>
      <c r="B30" s="111"/>
      <c r="C30" s="111"/>
      <c r="D30" s="111"/>
      <c r="E30" s="111"/>
      <c r="F30" s="111"/>
      <c r="G30" s="111"/>
    </row>
    <row r="31" spans="1:7" ht="20.05" customHeight="1" x14ac:dyDescent="0.3">
      <c r="A31" s="107" t="s">
        <v>101</v>
      </c>
      <c r="B31" s="100"/>
      <c r="C31" s="100"/>
      <c r="D31" s="100"/>
      <c r="E31" s="100"/>
      <c r="F31" s="100"/>
      <c r="G31" s="100"/>
    </row>
    <row r="33" spans="1:7" x14ac:dyDescent="0.3">
      <c r="A33" s="1" t="s">
        <v>102</v>
      </c>
    </row>
    <row r="34" spans="1:7" x14ac:dyDescent="0.3">
      <c r="A34" s="102" t="s">
        <v>103</v>
      </c>
      <c r="B34" s="100"/>
      <c r="C34" s="100"/>
      <c r="D34" s="100"/>
      <c r="E34" s="100"/>
      <c r="F34" s="100"/>
      <c r="G34" s="100"/>
    </row>
    <row r="35" spans="1:7" x14ac:dyDescent="0.3">
      <c r="A35" s="102" t="s">
        <v>104</v>
      </c>
      <c r="B35" s="100"/>
      <c r="C35" s="100"/>
      <c r="D35" s="100"/>
      <c r="E35" s="100"/>
      <c r="F35" s="100"/>
      <c r="G35" s="100"/>
    </row>
    <row r="36" spans="1:7" x14ac:dyDescent="0.3">
      <c r="A36" s="102" t="s">
        <v>105</v>
      </c>
      <c r="B36" s="100"/>
      <c r="C36" s="100"/>
      <c r="D36" s="100"/>
      <c r="E36" s="100"/>
      <c r="F36" s="100"/>
      <c r="G36" s="100"/>
    </row>
    <row r="37" spans="1:7" x14ac:dyDescent="0.3">
      <c r="A37" s="102" t="s">
        <v>106</v>
      </c>
      <c r="B37" s="100"/>
      <c r="C37" s="100"/>
      <c r="D37" s="100"/>
      <c r="E37" s="100"/>
      <c r="F37" s="100"/>
      <c r="G37" s="100"/>
    </row>
    <row r="38" spans="1:7" x14ac:dyDescent="0.3">
      <c r="A38" s="102" t="s">
        <v>107</v>
      </c>
      <c r="B38" s="100"/>
      <c r="C38" s="100"/>
      <c r="D38" s="100"/>
      <c r="E38" s="100"/>
      <c r="F38" s="100"/>
      <c r="G38" s="100"/>
    </row>
  </sheetData>
  <mergeCells count="15">
    <mergeCell ref="A38:G38"/>
    <mergeCell ref="A37:G37"/>
    <mergeCell ref="A36:G36"/>
    <mergeCell ref="A1:G1"/>
    <mergeCell ref="A24:E24"/>
    <mergeCell ref="A27:G27"/>
    <mergeCell ref="A8:G8"/>
    <mergeCell ref="A31:G31"/>
    <mergeCell ref="A25:E25"/>
    <mergeCell ref="A34:G34"/>
    <mergeCell ref="A35:G35"/>
    <mergeCell ref="B4:G4"/>
    <mergeCell ref="A2:G2"/>
    <mergeCell ref="A23:E23"/>
    <mergeCell ref="A28:G30"/>
  </mergeCells>
  <pageMargins left="0.75" right="0.75" top="1" bottom="1" header="0.5" footer="0.5"/>
  <drawing r:id="rId1"/>
  <legacyDrawing r:id="rId2"/>
  <mc:AlternateContent xmlns:mc="http://schemas.openxmlformats.org/markup-compatibility/2006">
    <mc:Choice Requires="x14">
      <controls>
        <mc:AlternateContent xmlns:mc="http://schemas.openxmlformats.org/markup-compatibility/2006">
          <mc:Choice Requires="x14">
            <control shapeId="3073" r:id="rId3" name="Check Box 1">
              <controlPr defaultSize="0" autoFill="0" autoLine="0" autoPict="0">
                <anchor moveWithCells="1">
                  <from>
                    <xdr:col>2</xdr:col>
                    <xdr:colOff>318052</xdr:colOff>
                    <xdr:row>9</xdr:row>
                    <xdr:rowOff>39757</xdr:rowOff>
                  </from>
                  <to>
                    <xdr:col>2</xdr:col>
                    <xdr:colOff>516835</xdr:colOff>
                    <xdr:row>9</xdr:row>
                    <xdr:rowOff>254442</xdr:rowOff>
                  </to>
                </anchor>
              </controlPr>
            </control>
          </mc:Choice>
        </mc:AlternateContent>
        <mc:AlternateContent xmlns:mc="http://schemas.openxmlformats.org/markup-compatibility/2006">
          <mc:Choice Requires="x14">
            <control shapeId="3074" r:id="rId4" name="Check Box 2">
              <controlPr defaultSize="0" autoFill="0" autoLine="0" autoPict="0">
                <anchor moveWithCells="1">
                  <from>
                    <xdr:col>2</xdr:col>
                    <xdr:colOff>318052</xdr:colOff>
                    <xdr:row>10</xdr:row>
                    <xdr:rowOff>39757</xdr:rowOff>
                  </from>
                  <to>
                    <xdr:col>2</xdr:col>
                    <xdr:colOff>516835</xdr:colOff>
                    <xdr:row>10</xdr:row>
                    <xdr:rowOff>254442</xdr:rowOff>
                  </to>
                </anchor>
              </controlPr>
            </control>
          </mc:Choice>
        </mc:AlternateContent>
        <mc:AlternateContent xmlns:mc="http://schemas.openxmlformats.org/markup-compatibility/2006">
          <mc:Choice Requires="x14">
            <control shapeId="3075" r:id="rId5" name="Check Box 3">
              <controlPr defaultSize="0" autoFill="0" autoLine="0" autoPict="0">
                <anchor moveWithCells="1">
                  <from>
                    <xdr:col>2</xdr:col>
                    <xdr:colOff>318052</xdr:colOff>
                    <xdr:row>11</xdr:row>
                    <xdr:rowOff>39757</xdr:rowOff>
                  </from>
                  <to>
                    <xdr:col>2</xdr:col>
                    <xdr:colOff>516835</xdr:colOff>
                    <xdr:row>11</xdr:row>
                    <xdr:rowOff>254442</xdr:rowOff>
                  </to>
                </anchor>
              </controlPr>
            </control>
          </mc:Choice>
        </mc:AlternateContent>
        <mc:AlternateContent xmlns:mc="http://schemas.openxmlformats.org/markup-compatibility/2006">
          <mc:Choice Requires="x14">
            <control shapeId="3076" r:id="rId6" name="Check Box 4">
              <controlPr defaultSize="0" autoFill="0" autoLine="0" autoPict="0">
                <anchor moveWithCells="1">
                  <from>
                    <xdr:col>2</xdr:col>
                    <xdr:colOff>318052</xdr:colOff>
                    <xdr:row>12</xdr:row>
                    <xdr:rowOff>39757</xdr:rowOff>
                  </from>
                  <to>
                    <xdr:col>2</xdr:col>
                    <xdr:colOff>516835</xdr:colOff>
                    <xdr:row>12</xdr:row>
                    <xdr:rowOff>254442</xdr:rowOff>
                  </to>
                </anchor>
              </controlPr>
            </control>
          </mc:Choice>
        </mc:AlternateContent>
        <mc:AlternateContent xmlns:mc="http://schemas.openxmlformats.org/markup-compatibility/2006">
          <mc:Choice Requires="x14">
            <control shapeId="3077" r:id="rId7" name="Check Box 5">
              <controlPr defaultSize="0" autoFill="0" autoLine="0" autoPict="0">
                <anchor moveWithCells="1">
                  <from>
                    <xdr:col>2</xdr:col>
                    <xdr:colOff>318052</xdr:colOff>
                    <xdr:row>13</xdr:row>
                    <xdr:rowOff>39757</xdr:rowOff>
                  </from>
                  <to>
                    <xdr:col>2</xdr:col>
                    <xdr:colOff>516835</xdr:colOff>
                    <xdr:row>13</xdr:row>
                    <xdr:rowOff>254442</xdr:rowOff>
                  </to>
                </anchor>
              </controlPr>
            </control>
          </mc:Choice>
        </mc:AlternateContent>
        <mc:AlternateContent xmlns:mc="http://schemas.openxmlformats.org/markup-compatibility/2006">
          <mc:Choice Requires="x14">
            <control shapeId="3078" r:id="rId8" name="Check Box 6">
              <controlPr defaultSize="0" autoFill="0" autoLine="0" autoPict="0">
                <anchor moveWithCells="1">
                  <from>
                    <xdr:col>2</xdr:col>
                    <xdr:colOff>318052</xdr:colOff>
                    <xdr:row>14</xdr:row>
                    <xdr:rowOff>39757</xdr:rowOff>
                  </from>
                  <to>
                    <xdr:col>2</xdr:col>
                    <xdr:colOff>516835</xdr:colOff>
                    <xdr:row>14</xdr:row>
                    <xdr:rowOff>254442</xdr:rowOff>
                  </to>
                </anchor>
              </controlPr>
            </control>
          </mc:Choice>
        </mc:AlternateContent>
        <mc:AlternateContent xmlns:mc="http://schemas.openxmlformats.org/markup-compatibility/2006">
          <mc:Choice Requires="x14">
            <control shapeId="3079" r:id="rId9" name="Check Box 7">
              <controlPr defaultSize="0" autoFill="0" autoLine="0" autoPict="0">
                <anchor moveWithCells="1">
                  <from>
                    <xdr:col>2</xdr:col>
                    <xdr:colOff>318052</xdr:colOff>
                    <xdr:row>15</xdr:row>
                    <xdr:rowOff>39757</xdr:rowOff>
                  </from>
                  <to>
                    <xdr:col>2</xdr:col>
                    <xdr:colOff>516835</xdr:colOff>
                    <xdr:row>15</xdr:row>
                    <xdr:rowOff>254442</xdr:rowOff>
                  </to>
                </anchor>
              </controlPr>
            </control>
          </mc:Choice>
        </mc:AlternateContent>
        <mc:AlternateContent xmlns:mc="http://schemas.openxmlformats.org/markup-compatibility/2006">
          <mc:Choice Requires="x14">
            <control shapeId="3080" r:id="rId10" name="Check Box 8">
              <controlPr defaultSize="0" autoFill="0" autoLine="0" autoPict="0">
                <anchor moveWithCells="1">
                  <from>
                    <xdr:col>2</xdr:col>
                    <xdr:colOff>318052</xdr:colOff>
                    <xdr:row>16</xdr:row>
                    <xdr:rowOff>39757</xdr:rowOff>
                  </from>
                  <to>
                    <xdr:col>2</xdr:col>
                    <xdr:colOff>516835</xdr:colOff>
                    <xdr:row>16</xdr:row>
                    <xdr:rowOff>254442</xdr:rowOff>
                  </to>
                </anchor>
              </controlPr>
            </control>
          </mc:Choice>
        </mc:AlternateContent>
        <mc:AlternateContent xmlns:mc="http://schemas.openxmlformats.org/markup-compatibility/2006">
          <mc:Choice Requires="x14">
            <control shapeId="3081" r:id="rId11" name="Check Box 9">
              <controlPr defaultSize="0" autoFill="0" autoLine="0" autoPict="0">
                <anchor moveWithCells="1">
                  <from>
                    <xdr:col>2</xdr:col>
                    <xdr:colOff>318052</xdr:colOff>
                    <xdr:row>17</xdr:row>
                    <xdr:rowOff>39757</xdr:rowOff>
                  </from>
                  <to>
                    <xdr:col>2</xdr:col>
                    <xdr:colOff>516835</xdr:colOff>
                    <xdr:row>17</xdr:row>
                    <xdr:rowOff>254442</xdr:rowOff>
                  </to>
                </anchor>
              </controlPr>
            </control>
          </mc:Choice>
        </mc:AlternateContent>
        <mc:AlternateContent xmlns:mc="http://schemas.openxmlformats.org/markup-compatibility/2006">
          <mc:Choice Requires="x14">
            <control shapeId="3082" r:id="rId12" name="Check Box 10">
              <controlPr defaultSize="0" autoFill="0" autoLine="0" autoPict="0">
                <anchor moveWithCells="1">
                  <from>
                    <xdr:col>2</xdr:col>
                    <xdr:colOff>318052</xdr:colOff>
                    <xdr:row>18</xdr:row>
                    <xdr:rowOff>39757</xdr:rowOff>
                  </from>
                  <to>
                    <xdr:col>2</xdr:col>
                    <xdr:colOff>516835</xdr:colOff>
                    <xdr:row>18</xdr:row>
                    <xdr:rowOff>254442</xdr:rowOff>
                  </to>
                </anchor>
              </controlPr>
            </control>
          </mc:Choice>
        </mc:AlternateContent>
        <mc:AlternateContent xmlns:mc="http://schemas.openxmlformats.org/markup-compatibility/2006">
          <mc:Choice Requires="x14">
            <control shapeId="3083" r:id="rId13" name="Check Box 11">
              <controlPr defaultSize="0" autoFill="0" autoLine="0" autoPict="0">
                <anchor moveWithCells="1">
                  <from>
                    <xdr:col>2</xdr:col>
                    <xdr:colOff>318052</xdr:colOff>
                    <xdr:row>19</xdr:row>
                    <xdr:rowOff>39757</xdr:rowOff>
                  </from>
                  <to>
                    <xdr:col>2</xdr:col>
                    <xdr:colOff>516835</xdr:colOff>
                    <xdr:row>19</xdr:row>
                    <xdr:rowOff>254442</xdr:rowOff>
                  </to>
                </anchor>
              </controlPr>
            </control>
          </mc:Choice>
        </mc:AlternateContent>
        <mc:AlternateContent xmlns:mc="http://schemas.openxmlformats.org/markup-compatibility/2006">
          <mc:Choice Requires="x14">
            <control shapeId="3084" r:id="rId14" name="Check Box 12">
              <controlPr defaultSize="0" autoFill="0" autoLine="0" autoPict="0">
                <anchor moveWithCells="1">
                  <from>
                    <xdr:col>2</xdr:col>
                    <xdr:colOff>318052</xdr:colOff>
                    <xdr:row>20</xdr:row>
                    <xdr:rowOff>39757</xdr:rowOff>
                  </from>
                  <to>
                    <xdr:col>2</xdr:col>
                    <xdr:colOff>516835</xdr:colOff>
                    <xdr:row>20</xdr:row>
                    <xdr:rowOff>254442</xdr:rowOff>
                  </to>
                </anchor>
              </controlPr>
            </control>
          </mc:Choice>
        </mc:AlternateContent>
      </controls>
    </mc:Choice>
  </mc:AlternateContent>
</worksheet>
</file>

<file path=xl/worksheets/sheet5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100-000000000000}">
  <sheetPr>
    <pageSetUpPr fitToPage="1"/>
  </sheetPr>
  <dimension ref="A1:G71"/>
  <sheetViews>
    <sheetView topLeftCell="A20" workbookViewId="0">
      <selection activeCell="R39" sqref="R39"/>
    </sheetView>
  </sheetViews>
  <sheetFormatPr defaultRowHeight="15.05" x14ac:dyDescent="0.3"/>
  <cols>
    <col min="1" max="1" width="43.6640625" bestFit="1" customWidth="1"/>
    <col min="2" max="2" width="12" customWidth="1"/>
    <col min="3" max="3" width="24.77734375" customWidth="1"/>
    <col min="4" max="4" width="14" customWidth="1"/>
    <col min="5" max="5" width="22" customWidth="1"/>
    <col min="7" max="7" width="11.109375" bestFit="1" customWidth="1"/>
  </cols>
  <sheetData>
    <row r="1" spans="1:7" ht="36" customHeight="1" x14ac:dyDescent="0.3">
      <c r="A1" s="137" t="s">
        <v>40</v>
      </c>
      <c r="B1" s="100"/>
      <c r="C1" s="100"/>
      <c r="D1" s="100"/>
      <c r="E1" s="100"/>
    </row>
    <row r="2" spans="1:7" ht="16.899999999999999" x14ac:dyDescent="0.3">
      <c r="A2" s="138" t="s">
        <v>41</v>
      </c>
      <c r="B2" s="100"/>
      <c r="C2" s="100"/>
      <c r="D2" s="100"/>
      <c r="E2" s="100"/>
    </row>
    <row r="4" spans="1:7" ht="16.899999999999999" x14ac:dyDescent="0.3">
      <c r="A4" s="19" t="s">
        <v>42</v>
      </c>
      <c r="B4" s="139" t="str">
        <f>Calculator!B4</f>
        <v>Zambia Sugar</v>
      </c>
      <c r="C4" s="100"/>
      <c r="D4" s="100"/>
      <c r="E4" s="100"/>
    </row>
    <row r="5" spans="1:7" x14ac:dyDescent="0.3">
      <c r="A5" s="19" t="s">
        <v>43</v>
      </c>
      <c r="B5" s="20">
        <f ca="1">Calculator!B5</f>
        <v>46203</v>
      </c>
    </row>
    <row r="6" spans="1:7" x14ac:dyDescent="0.3">
      <c r="A6" s="19" t="s">
        <v>44</v>
      </c>
      <c r="B6" s="21" t="str">
        <f>Calculator!B6&amp;" vehicles"</f>
        <v>20 vehicles</v>
      </c>
    </row>
    <row r="8" spans="1:7" ht="17.55" x14ac:dyDescent="0.3">
      <c r="A8" s="127" t="s">
        <v>45</v>
      </c>
      <c r="B8" s="128"/>
      <c r="C8" s="128"/>
      <c r="D8" s="128"/>
      <c r="E8" s="128"/>
    </row>
    <row r="9" spans="1:7" x14ac:dyDescent="0.3">
      <c r="A9" s="22" t="s">
        <v>6</v>
      </c>
      <c r="B9" s="22" t="s">
        <v>46</v>
      </c>
      <c r="C9" s="22" t="s">
        <v>47</v>
      </c>
      <c r="D9" s="22" t="s">
        <v>48</v>
      </c>
      <c r="E9" s="22" t="s">
        <v>49</v>
      </c>
    </row>
    <row r="10" spans="1:7" x14ac:dyDescent="0.3">
      <c r="A10" s="21" t="str">
        <f>IF(Calculator!B10,"Tracking","")</f>
        <v>Tracking</v>
      </c>
      <c r="B10" s="23">
        <f>IF(Calculator!B10,Calculator!$B$6,"")</f>
        <v>20</v>
      </c>
      <c r="C10" s="24">
        <f>IF(Calculator!B10,Calculator!D10,"")</f>
        <v>235.16666666666663</v>
      </c>
      <c r="D10" s="24">
        <f>IF(Calculator!B10,Calculator!E10,"")</f>
        <v>4703.3333333333321</v>
      </c>
      <c r="E10" s="24">
        <f>IF(Calculator!B10,Calculator!F10,"")</f>
        <v>56439.999999999985</v>
      </c>
    </row>
    <row r="11" spans="1:7" x14ac:dyDescent="0.3">
      <c r="A11" s="21" t="str">
        <f>IF(Calculator!B11,"Fuel","")</f>
        <v>Fuel</v>
      </c>
      <c r="B11" s="23">
        <f>IF(Calculator!B11,Calculator!$B$6,"")</f>
        <v>20</v>
      </c>
      <c r="C11" s="24">
        <f>IF(Calculator!B11,Calculator!D11,"")</f>
        <v>282.2</v>
      </c>
      <c r="D11" s="24">
        <f>IF(Calculator!B11,Calculator!E11,"")</f>
        <v>5644</v>
      </c>
      <c r="E11" s="24">
        <f>IF(Calculator!B11,Calculator!F11,"")</f>
        <v>67728</v>
      </c>
    </row>
    <row r="12" spans="1:7" x14ac:dyDescent="0.3">
      <c r="A12" s="21" t="str">
        <f>IF(Calculator!B12,"Route Builder","")</f>
        <v>Route Builder</v>
      </c>
      <c r="B12" s="23">
        <f>IF(Calculator!B12,Calculator!$B$6,"")</f>
        <v>20</v>
      </c>
      <c r="C12" s="24">
        <f>IF(Calculator!B12,Calculator!D12,"")</f>
        <v>170</v>
      </c>
      <c r="D12" s="24">
        <f>IF(Calculator!B12,Calculator!E12,"")</f>
        <v>3400</v>
      </c>
      <c r="E12" s="24">
        <f>IF(Calculator!B12,Calculator!F12,"")</f>
        <v>40800</v>
      </c>
    </row>
    <row r="13" spans="1:7" x14ac:dyDescent="0.3">
      <c r="A13" s="21" t="str">
        <f>IF(Calculator!B13,"Digital Journey","")</f>
        <v>Digital Journey</v>
      </c>
      <c r="B13" s="23">
        <f>IF(Calculator!B13,Calculator!$B$6,"")</f>
        <v>20</v>
      </c>
      <c r="C13" s="24">
        <f>IF(Calculator!B13,Calculator!D13,"")</f>
        <v>282.2</v>
      </c>
      <c r="D13" s="24">
        <f>IF(Calculator!B13,Calculator!E13,"")</f>
        <v>5644</v>
      </c>
      <c r="E13" s="24">
        <f>IF(Calculator!B13,Calculator!F13,"")</f>
        <v>67728</v>
      </c>
      <c r="G13" s="95"/>
    </row>
    <row r="14" spans="1:7" x14ac:dyDescent="0.3">
      <c r="A14" s="21" t="str">
        <f>IF(Calculator!B14,"Stock Master","")</f>
        <v/>
      </c>
      <c r="B14" s="23" t="str">
        <f>IF(Calculator!B14,Calculator!$B$6,"")</f>
        <v/>
      </c>
      <c r="C14" s="24" t="str">
        <f>IF(Calculator!B14,Calculator!D14,"")</f>
        <v/>
      </c>
      <c r="D14" s="24" t="str">
        <f>IF(Calculator!B14,Calculator!E14,"")</f>
        <v/>
      </c>
      <c r="E14" s="24" t="str">
        <f>IF(Calculator!B14,Calculator!F14,"")</f>
        <v/>
      </c>
    </row>
    <row r="16" spans="1:7" ht="17.55" x14ac:dyDescent="0.3">
      <c r="A16" s="131" t="s">
        <v>50</v>
      </c>
      <c r="B16" s="132"/>
      <c r="C16" s="132"/>
      <c r="D16" s="25">
        <f>Calculator!E23</f>
        <v>19391.333333333332</v>
      </c>
      <c r="E16" s="25">
        <f>Calculator!F23</f>
        <v>232696</v>
      </c>
    </row>
    <row r="18" spans="1:5" x14ac:dyDescent="0.3">
      <c r="A18" s="134"/>
      <c r="B18" s="100"/>
      <c r="C18" s="100"/>
      <c r="D18" s="100"/>
      <c r="E18" s="100"/>
    </row>
    <row r="19" spans="1:5" x14ac:dyDescent="0.3">
      <c r="A19" s="130"/>
      <c r="B19" s="100"/>
      <c r="C19" s="100"/>
      <c r="D19" s="26"/>
    </row>
    <row r="20" spans="1:5" x14ac:dyDescent="0.3">
      <c r="A20" s="130"/>
      <c r="B20" s="100"/>
      <c r="C20" s="100"/>
      <c r="D20" s="26"/>
    </row>
    <row r="21" spans="1:5" x14ac:dyDescent="0.3">
      <c r="A21" s="134"/>
      <c r="B21" s="100"/>
      <c r="C21" s="100"/>
      <c r="D21" s="27"/>
    </row>
    <row r="23" spans="1:5" ht="17.55" x14ac:dyDescent="0.3">
      <c r="A23" s="127" t="s">
        <v>51</v>
      </c>
      <c r="B23" s="128"/>
      <c r="C23" s="128"/>
      <c r="D23" s="128"/>
      <c r="E23" s="128"/>
    </row>
    <row r="24" spans="1:5" x14ac:dyDescent="0.3">
      <c r="A24" s="22" t="s">
        <v>52</v>
      </c>
      <c r="B24" s="22" t="s">
        <v>53</v>
      </c>
      <c r="C24" s="22" t="s">
        <v>54</v>
      </c>
      <c r="D24" s="22" t="s">
        <v>55</v>
      </c>
      <c r="E24" s="22" t="s">
        <v>56</v>
      </c>
    </row>
    <row r="25" spans="1:5" x14ac:dyDescent="0.3">
      <c r="A25" s="28" t="str">
        <f>IF(Implementation!F10&gt;0,Implementation!A10,"")</f>
        <v>Project Management</v>
      </c>
      <c r="B25" s="29">
        <f>IF(Implementation!F10&gt;0,Implementation!B10,"")</f>
        <v>30</v>
      </c>
      <c r="C25" s="30">
        <f>IF(Implementation!F10&gt;0,Implementation!D10,"")</f>
        <v>1325</v>
      </c>
      <c r="D25" s="31" t="str">
        <f>IF(AND(Implementation!F10&gt;0,Implementation!E10&gt;0),Implementation!E10,"")</f>
        <v/>
      </c>
      <c r="E25" s="24">
        <f>IF(Implementation!F10&gt;0,Implementation!F10,"")</f>
        <v>39750</v>
      </c>
    </row>
    <row r="26" spans="1:5" x14ac:dyDescent="0.3">
      <c r="A26" s="28" t="str">
        <f>IF(Implementation!F11&gt;0,Implementation!A11,"")</f>
        <v>Design and Integration</v>
      </c>
      <c r="B26" s="29">
        <f>IF(Implementation!F11&gt;0,Implementation!B11,"")</f>
        <v>15</v>
      </c>
      <c r="C26" s="30">
        <f>IF(Implementation!F11&gt;0,Implementation!D11,"")</f>
        <v>1325</v>
      </c>
      <c r="D26" s="31" t="str">
        <f>IF(AND(Implementation!F11&gt;0,Implementation!E11&gt;0),Implementation!E11,"")</f>
        <v/>
      </c>
      <c r="E26" s="24">
        <f>IF(Implementation!F11&gt;0,Implementation!F11,"")</f>
        <v>19875</v>
      </c>
    </row>
    <row r="27" spans="1:5" x14ac:dyDescent="0.3">
      <c r="A27" s="28" t="str">
        <f>IF(Implementation!F12&gt;0,Implementation!A12,"")</f>
        <v>MasterData and Database setup</v>
      </c>
      <c r="B27" s="29">
        <f>IF(Implementation!F12&gt;0,Implementation!B12,"")</f>
        <v>10</v>
      </c>
      <c r="C27" s="30">
        <f>IF(Implementation!F12&gt;0,Implementation!D12,"")</f>
        <v>1325</v>
      </c>
      <c r="D27" s="31" t="str">
        <f>IF(AND(Implementation!F12&gt;0,Implementation!E12&gt;0),Implementation!E12,"")</f>
        <v/>
      </c>
      <c r="E27" s="24">
        <f>IF(Implementation!F12&gt;0,Implementation!F12,"")</f>
        <v>13250</v>
      </c>
    </row>
    <row r="28" spans="1:5" x14ac:dyDescent="0.3">
      <c r="A28" s="28" t="str">
        <f>IF(Implementation!F13&gt;0,Implementation!A13,"")</f>
        <v>Reporting setup</v>
      </c>
      <c r="B28" s="29">
        <f>IF(Implementation!F13&gt;0,Implementation!B13,"")</f>
        <v>5</v>
      </c>
      <c r="C28" s="30">
        <f>IF(Implementation!F13&gt;0,Implementation!D13,"")</f>
        <v>1325</v>
      </c>
      <c r="D28" s="31" t="str">
        <f>IF(AND(Implementation!F13&gt;0,Implementation!E13&gt;0),Implementation!E13,"")</f>
        <v/>
      </c>
      <c r="E28" s="24">
        <f>IF(Implementation!F13&gt;0,Implementation!F13,"")</f>
        <v>6625</v>
      </c>
    </row>
    <row r="29" spans="1:5" x14ac:dyDescent="0.3">
      <c r="A29" s="28" t="str">
        <f>IF(Implementation!F14&gt;0,Implementation!A14,"")</f>
        <v>Testing</v>
      </c>
      <c r="B29" s="29">
        <f>IF(Implementation!F14&gt;0,Implementation!B14,"")</f>
        <v>10</v>
      </c>
      <c r="C29" s="30">
        <f>IF(Implementation!F14&gt;0,Implementation!D14,"")</f>
        <v>1325</v>
      </c>
      <c r="D29" s="31" t="str">
        <f>IF(AND(Implementation!F14&gt;0,Implementation!E14&gt;0),Implementation!E14,"")</f>
        <v/>
      </c>
      <c r="E29" s="24">
        <f>IF(Implementation!F14&gt;0,Implementation!F14,"")</f>
        <v>13250</v>
      </c>
    </row>
    <row r="30" spans="1:5" x14ac:dyDescent="0.3">
      <c r="A30" s="28" t="str">
        <f>IF(Implementation!F15&gt;0,Implementation!A15,"")</f>
        <v>User Acceptance Testing</v>
      </c>
      <c r="B30" s="29">
        <f>IF(Implementation!F15&gt;0,Implementation!B15,"")</f>
        <v>5</v>
      </c>
      <c r="C30" s="30">
        <f>IF(Implementation!F15&gt;0,Implementation!D15,"")</f>
        <v>1325</v>
      </c>
      <c r="D30" s="31" t="str">
        <f>IF(AND(Implementation!F15&gt;0,Implementation!E15&gt;0),Implementation!E15,"")</f>
        <v/>
      </c>
      <c r="E30" s="24">
        <f>IF(Implementation!F15&gt;0,Implementation!F15,"")</f>
        <v>6625</v>
      </c>
    </row>
    <row r="31" spans="1:5" x14ac:dyDescent="0.3">
      <c r="A31" s="28" t="str">
        <f>IF(Implementation!F16&gt;0,Implementation!A16,"")</f>
        <v>Training — Tracking</v>
      </c>
      <c r="B31" s="29">
        <f>IF(Implementation!F16&gt;0,Implementation!B16,"")</f>
        <v>5</v>
      </c>
      <c r="C31" s="30">
        <f>IF(Implementation!F16&gt;0,Implementation!D16,"")</f>
        <v>1325</v>
      </c>
      <c r="D31" s="31" t="str">
        <f>IF(AND(Implementation!F16&gt;0,Implementation!E16&gt;0),Implementation!E16,"")</f>
        <v/>
      </c>
      <c r="E31" s="24">
        <f>IF(Implementation!F16&gt;0,Implementation!F16,"")</f>
        <v>6625</v>
      </c>
    </row>
    <row r="32" spans="1:5" x14ac:dyDescent="0.3">
      <c r="A32" s="28" t="str">
        <f>IF(Implementation!F17&gt;0,Implementation!A17,"")</f>
        <v>Training — Fuel</v>
      </c>
      <c r="B32" s="29">
        <f>IF(Implementation!F17&gt;0,Implementation!B17,"")</f>
        <v>5</v>
      </c>
      <c r="C32" s="30">
        <f>IF(Implementation!F17&gt;0,Implementation!D17,"")</f>
        <v>1325</v>
      </c>
      <c r="D32" s="31" t="str">
        <f>IF(AND(Implementation!F17&gt;0,Implementation!E17&gt;0),Implementation!E17,"")</f>
        <v/>
      </c>
      <c r="E32" s="24">
        <f>IF(Implementation!F17&gt;0,Implementation!F17,"")</f>
        <v>6625</v>
      </c>
    </row>
    <row r="33" spans="1:5" x14ac:dyDescent="0.3">
      <c r="A33" s="28" t="str">
        <f>IF(Implementation!F18&gt;0,Implementation!A18,"")</f>
        <v>Training — Route Builder</v>
      </c>
      <c r="B33" s="29">
        <f>IF(Implementation!F18&gt;0,Implementation!B18,"")</f>
        <v>10</v>
      </c>
      <c r="C33" s="30">
        <f>IF(Implementation!F18&gt;0,Implementation!D18,"")</f>
        <v>1325</v>
      </c>
      <c r="D33" s="31" t="str">
        <f>IF(AND(Implementation!F18&gt;0,Implementation!E18&gt;0),Implementation!E18,"")</f>
        <v/>
      </c>
      <c r="E33" s="24">
        <f>IF(Implementation!F18&gt;0,Implementation!F18,"")</f>
        <v>13250</v>
      </c>
    </row>
    <row r="34" spans="1:5" x14ac:dyDescent="0.3">
      <c r="A34" s="28" t="str">
        <f>IF(Implementation!F19&gt;0,Implementation!A19,"")</f>
        <v>Training — Digital Journey</v>
      </c>
      <c r="B34" s="29">
        <f>IF(Implementation!F19&gt;0,Implementation!B19,"")</f>
        <v>10</v>
      </c>
      <c r="C34" s="30">
        <f>IF(Implementation!F19&gt;0,Implementation!D19,"")</f>
        <v>1325</v>
      </c>
      <c r="D34" s="31" t="str">
        <f>IF(AND(Implementation!F19&gt;0,Implementation!E19&gt;0),Implementation!E19,"")</f>
        <v/>
      </c>
      <c r="E34" s="24">
        <f>IF(Implementation!F19&gt;0,Implementation!F19,"")</f>
        <v>13250</v>
      </c>
    </row>
    <row r="35" spans="1:5" x14ac:dyDescent="0.3">
      <c r="A35" s="28" t="str">
        <f>IF(Implementation!F20&gt;0,Implementation!A20,"")</f>
        <v/>
      </c>
      <c r="B35" s="29" t="str">
        <f>IF(Implementation!F20&gt;0,Implementation!B20,"")</f>
        <v/>
      </c>
      <c r="C35" s="30" t="str">
        <f>IF(Implementation!F20&gt;0,Implementation!D20,"")</f>
        <v/>
      </c>
      <c r="D35" s="31" t="str">
        <f>IF(AND(Implementation!F20&gt;0,Implementation!E20&gt;0),Implementation!E20,"")</f>
        <v/>
      </c>
      <c r="E35" s="24" t="str">
        <f>IF(Implementation!F20&gt;0,Implementation!F20,"")</f>
        <v/>
      </c>
    </row>
    <row r="36" spans="1:5" x14ac:dyDescent="0.3">
      <c r="A36" s="28" t="str">
        <f>IF(Implementation!F21&gt;0,Implementation!A21,"")</f>
        <v/>
      </c>
      <c r="B36" s="29" t="str">
        <f>IF(Implementation!F21&gt;0,Implementation!B21,"")</f>
        <v/>
      </c>
      <c r="C36" s="30" t="str">
        <f>IF(Implementation!F21&gt;0,Implementation!D21,"")</f>
        <v/>
      </c>
      <c r="D36" s="31" t="str">
        <f>IF(AND(Implementation!F21&gt;0,Implementation!E21&gt;0),Implementation!E21,"")</f>
        <v/>
      </c>
      <c r="E36" s="24" t="str">
        <f>IF(Implementation!F21&gt;0,Implementation!F21,"")</f>
        <v/>
      </c>
    </row>
    <row r="37" spans="1:5" ht="17.55" x14ac:dyDescent="0.3">
      <c r="A37" s="131" t="s">
        <v>57</v>
      </c>
      <c r="B37" s="132"/>
      <c r="C37" s="132"/>
      <c r="D37" s="132"/>
      <c r="E37" s="25">
        <f>Implementation!F23</f>
        <v>139125</v>
      </c>
    </row>
    <row r="39" spans="1:5" ht="17.55" x14ac:dyDescent="0.3">
      <c r="A39" s="127" t="s">
        <v>58</v>
      </c>
      <c r="B39" s="128"/>
      <c r="C39" s="128"/>
      <c r="D39" s="128"/>
      <c r="E39" s="128"/>
    </row>
    <row r="40" spans="1:5" x14ac:dyDescent="0.3">
      <c r="A40" s="22" t="s">
        <v>52</v>
      </c>
      <c r="B40" s="22" t="s">
        <v>59</v>
      </c>
      <c r="C40" s="22" t="s">
        <v>60</v>
      </c>
      <c r="D40" s="22"/>
      <c r="E40" s="22" t="s">
        <v>56</v>
      </c>
    </row>
    <row r="41" spans="1:5" x14ac:dyDescent="0.3">
      <c r="A41" s="28" t="str">
        <f>IF(Hardware!F14&gt;0,"Digital Journey Handset ("&amp;Hardware!A14&amp;")","")</f>
        <v/>
      </c>
      <c r="B41" s="23" t="str">
        <f>IF(Hardware!F14&gt;0,Hardware!D14,"")</f>
        <v/>
      </c>
      <c r="C41" s="30" t="str">
        <f>IF(Hardware!F14&gt;0,Hardware!E14,"")</f>
        <v/>
      </c>
      <c r="E41" s="24" t="str">
        <f>IF(Hardware!F14&gt;0,Hardware!F14,"")</f>
        <v/>
      </c>
    </row>
    <row r="42" spans="1:5" x14ac:dyDescent="0.3">
      <c r="A42" s="28" t="str">
        <f>IF(Hardware!F15&gt;0,"Stock Master Handset ("&amp;Hardware!A15&amp;")","")</f>
        <v/>
      </c>
      <c r="B42" s="23" t="str">
        <f>IF(Hardware!F15&gt;0,Hardware!D15,"")</f>
        <v/>
      </c>
      <c r="C42" s="30" t="str">
        <f>IF(Hardware!F15&gt;0,Hardware!E15,"")</f>
        <v/>
      </c>
      <c r="E42" s="24" t="str">
        <f>IF(Hardware!F15&gt;0,Hardware!F15,"")</f>
        <v/>
      </c>
    </row>
    <row r="43" spans="1:5" x14ac:dyDescent="0.3">
      <c r="A43" s="28" t="str">
        <f>IF(Hardware!F16&gt;0,Hardware!A16,"")</f>
        <v/>
      </c>
      <c r="B43" s="23" t="str">
        <f>IF(Hardware!F16&gt;0,Hardware!D16,"")</f>
        <v/>
      </c>
      <c r="C43" s="30" t="str">
        <f>IF(Hardware!F16&gt;0,Hardware!E16,"")</f>
        <v/>
      </c>
      <c r="E43" s="24" t="str">
        <f>IF(Hardware!F16&gt;0,Hardware!F16,"")</f>
        <v/>
      </c>
    </row>
    <row r="44" spans="1:5" x14ac:dyDescent="0.3">
      <c r="A44" s="28" t="str">
        <f>IF(Hardware!F17&gt;0,"Vehicle GPS Tracker ("&amp;Hardware!A17&amp;")","")</f>
        <v/>
      </c>
      <c r="B44" s="23" t="str">
        <f>IF(Hardware!F17&gt;0,Hardware!D17,"")</f>
        <v/>
      </c>
      <c r="C44" s="30" t="str">
        <f>IF(Hardware!F17&gt;0,Hardware!E17,"")</f>
        <v/>
      </c>
      <c r="E44" s="24" t="str">
        <f>IF(Hardware!F17&gt;0,Hardware!F17,"")</f>
        <v/>
      </c>
    </row>
    <row r="45" spans="1:5" x14ac:dyDescent="0.3">
      <c r="A45" s="28" t="str">
        <f>IF(Hardware!F18&gt;0,"Trailer GPS Tracker ("&amp;Hardware!A18&amp;")","")</f>
        <v/>
      </c>
      <c r="B45" s="23" t="str">
        <f>IF(Hardware!F18&gt;0,Hardware!D18,"")</f>
        <v/>
      </c>
      <c r="C45" s="30" t="str">
        <f>IF(Hardware!F18&gt;0,Hardware!E18,"")</f>
        <v/>
      </c>
      <c r="E45" s="24" t="str">
        <f>IF(Hardware!F18&gt;0,Hardware!F18,"")</f>
        <v/>
      </c>
    </row>
    <row r="46" spans="1:5" x14ac:dyDescent="0.3">
      <c r="A46" s="28" t="str">
        <f>IF(Hardware!F19&gt;0,Hardware!A19,"")</f>
        <v/>
      </c>
      <c r="B46" s="23" t="str">
        <f>IF(Hardware!F19&gt;0,Hardware!D19,"")</f>
        <v/>
      </c>
      <c r="C46" s="30" t="str">
        <f>IF(Hardware!F19&gt;0,Hardware!E19,"")</f>
        <v/>
      </c>
      <c r="E46" s="24" t="str">
        <f>IF(Hardware!F19&gt;0,Hardware!F19,"")</f>
        <v/>
      </c>
    </row>
    <row r="47" spans="1:5" x14ac:dyDescent="0.3">
      <c r="A47" s="28" t="str">
        <f>IF(Hardware!F20&gt;0,Hardware!A20,"")</f>
        <v/>
      </c>
      <c r="B47" s="23" t="str">
        <f>IF(Hardware!F20&gt;0,Hardware!D20,"")</f>
        <v/>
      </c>
      <c r="C47" s="30" t="str">
        <f>IF(Hardware!F20&gt;0,Hardware!E20,"")</f>
        <v/>
      </c>
      <c r="E47" s="24" t="str">
        <f>IF(Hardware!F20&gt;0,Hardware!F20,"")</f>
        <v/>
      </c>
    </row>
    <row r="48" spans="1:5" x14ac:dyDescent="0.3">
      <c r="A48" s="32" t="str">
        <f>IF(Hardware!F23&gt;0,"International shipping &amp; customs (20%)","")</f>
        <v/>
      </c>
      <c r="E48" s="33" t="str">
        <f>IF(Hardware!F23&gt;0,Hardware!F23,"")</f>
        <v/>
      </c>
    </row>
    <row r="49" spans="1:7" x14ac:dyDescent="0.3">
      <c r="A49" s="28" t="str">
        <f>IF(Hardware!F28&gt;0,Hardware!A28,"")</f>
        <v/>
      </c>
      <c r="B49" s="23" t="str">
        <f>IF(Hardware!F28&gt;0,Hardware!D28,"")</f>
        <v/>
      </c>
      <c r="C49" s="30" t="str">
        <f>IF(Hardware!F28&gt;0,Hardware!E28,"")</f>
        <v/>
      </c>
      <c r="E49" s="24" t="str">
        <f>IF(Hardware!F28&gt;0,Hardware!F28,"")</f>
        <v/>
      </c>
    </row>
    <row r="50" spans="1:7" x14ac:dyDescent="0.3">
      <c r="A50" s="28" t="str">
        <f>IF(Hardware!F29&gt;0,Hardware!A29,"")</f>
        <v/>
      </c>
      <c r="B50" s="23" t="str">
        <f>IF(Hardware!F29&gt;0,Hardware!D29,"")</f>
        <v/>
      </c>
      <c r="C50" s="30" t="str">
        <f>IF(Hardware!F29&gt;0,Hardware!E29,"")</f>
        <v/>
      </c>
      <c r="E50" s="24" t="str">
        <f>IF(Hardware!F29&gt;0,Hardware!F29,"")</f>
        <v/>
      </c>
    </row>
    <row r="51" spans="1:7" x14ac:dyDescent="0.3">
      <c r="A51" s="28" t="str">
        <f>IF(Hardware!F30&gt;0,Hardware!A30,"")</f>
        <v/>
      </c>
      <c r="B51" s="23" t="str">
        <f>IF(Hardware!F30&gt;0,Hardware!D30,"")</f>
        <v/>
      </c>
      <c r="C51" s="30" t="str">
        <f>IF(Hardware!F30&gt;0,Hardware!E30,"")</f>
        <v/>
      </c>
      <c r="E51" s="24" t="str">
        <f>IF(Hardware!F30&gt;0,Hardware!F30,"")</f>
        <v/>
      </c>
    </row>
    <row r="52" spans="1:7" x14ac:dyDescent="0.3">
      <c r="A52" s="28" t="str">
        <f>IF(Hardware!F31&gt;0,Hardware!A31,"")</f>
        <v/>
      </c>
      <c r="B52" s="23" t="str">
        <f>IF(Hardware!F31&gt;0,Hardware!D31,"")</f>
        <v/>
      </c>
      <c r="C52" s="30" t="str">
        <f>IF(Hardware!F31&gt;0,Hardware!E31,"")</f>
        <v/>
      </c>
      <c r="E52" s="24" t="str">
        <f>IF(Hardware!F31&gt;0,Hardware!F31,"")</f>
        <v/>
      </c>
    </row>
    <row r="53" spans="1:7" ht="17.55" x14ac:dyDescent="0.3">
      <c r="A53" s="131" t="s">
        <v>61</v>
      </c>
      <c r="B53" s="132"/>
      <c r="C53" s="132"/>
      <c r="D53" s="132"/>
      <c r="E53" s="25">
        <f>Hardware!F35</f>
        <v>0</v>
      </c>
    </row>
    <row r="55" spans="1:7" ht="17.55" x14ac:dyDescent="0.3">
      <c r="A55" s="135" t="s">
        <v>62</v>
      </c>
      <c r="B55" s="136"/>
      <c r="C55" s="136"/>
      <c r="D55" s="136"/>
      <c r="E55" s="34">
        <f>Calculator!F23+Implementation!F23+Hardware!F35</f>
        <v>371821</v>
      </c>
    </row>
    <row r="56" spans="1:7" x14ac:dyDescent="0.3">
      <c r="A56" s="133" t="s">
        <v>63</v>
      </c>
      <c r="B56" s="100"/>
      <c r="C56" s="100"/>
      <c r="D56" s="100"/>
      <c r="E56" s="35">
        <f>Calculator!F23</f>
        <v>232696</v>
      </c>
      <c r="G56" s="97"/>
    </row>
    <row r="58" spans="1:7" x14ac:dyDescent="0.3">
      <c r="A58" s="134" t="s">
        <v>64</v>
      </c>
      <c r="B58" s="100"/>
      <c r="C58" s="100"/>
      <c r="D58" s="100"/>
      <c r="E58" s="100"/>
    </row>
    <row r="59" spans="1:7" x14ac:dyDescent="0.3">
      <c r="A59" s="130" t="s">
        <v>65</v>
      </c>
      <c r="B59" s="100"/>
      <c r="C59" s="100"/>
      <c r="D59" s="26">
        <f>Calculator!C19</f>
        <v>0.15</v>
      </c>
    </row>
    <row r="60" spans="1:7" x14ac:dyDescent="0.3">
      <c r="A60" s="130" t="s">
        <v>66</v>
      </c>
      <c r="B60" s="100"/>
      <c r="C60" s="100"/>
      <c r="D60" s="26">
        <f>Calculator!C21</f>
        <v>0</v>
      </c>
    </row>
    <row r="61" spans="1:7" x14ac:dyDescent="0.3">
      <c r="A61" s="134" t="s">
        <v>67</v>
      </c>
      <c r="B61" s="100"/>
      <c r="C61" s="100"/>
      <c r="D61" s="27">
        <f>1-Calculator!B19*Calculator!B21</f>
        <v>0.15000000000000002</v>
      </c>
    </row>
    <row r="63" spans="1:7" ht="15.65" x14ac:dyDescent="0.3">
      <c r="A63" s="36" t="s">
        <v>68</v>
      </c>
    </row>
    <row r="64" spans="1:7" x14ac:dyDescent="0.3">
      <c r="A64" s="129" t="s">
        <v>69</v>
      </c>
      <c r="B64" s="100"/>
      <c r="C64" s="100"/>
      <c r="D64" s="100"/>
      <c r="E64" s="100"/>
    </row>
    <row r="65" spans="1:5" x14ac:dyDescent="0.3">
      <c r="A65" s="129" t="s">
        <v>70</v>
      </c>
      <c r="B65" s="100"/>
      <c r="C65" s="100"/>
      <c r="D65" s="100"/>
      <c r="E65" s="100"/>
    </row>
    <row r="66" spans="1:5" x14ac:dyDescent="0.3">
      <c r="A66" s="129" t="s">
        <v>71</v>
      </c>
      <c r="B66" s="100"/>
      <c r="C66" s="100"/>
      <c r="D66" s="100"/>
      <c r="E66" s="100"/>
    </row>
    <row r="67" spans="1:5" x14ac:dyDescent="0.3">
      <c r="A67" s="129" t="s">
        <v>72</v>
      </c>
      <c r="B67" s="100"/>
      <c r="C67" s="100"/>
      <c r="D67" s="100"/>
      <c r="E67" s="100"/>
    </row>
    <row r="68" spans="1:5" x14ac:dyDescent="0.3">
      <c r="A68" s="129" t="s">
        <v>73</v>
      </c>
      <c r="B68" s="100"/>
      <c r="C68" s="100"/>
      <c r="D68" s="100"/>
      <c r="E68" s="100"/>
    </row>
    <row r="69" spans="1:5" x14ac:dyDescent="0.3">
      <c r="A69" s="129" t="s">
        <v>74</v>
      </c>
      <c r="B69" s="100"/>
      <c r="C69" s="100"/>
      <c r="D69" s="100"/>
      <c r="E69" s="100"/>
    </row>
    <row r="71" spans="1:5" x14ac:dyDescent="0.3">
      <c r="A71" s="126" t="s">
        <v>75</v>
      </c>
      <c r="B71" s="100"/>
      <c r="C71" s="100"/>
      <c r="D71" s="100"/>
      <c r="E71" s="100"/>
    </row>
  </sheetData>
  <mergeCells count="26">
    <mergeCell ref="A1:E1"/>
    <mergeCell ref="A21:C21"/>
    <mergeCell ref="A2:E2"/>
    <mergeCell ref="B4:E4"/>
    <mergeCell ref="A66:E66"/>
    <mergeCell ref="A20:C20"/>
    <mergeCell ref="A18:E18"/>
    <mergeCell ref="A19:C19"/>
    <mergeCell ref="A39:E39"/>
    <mergeCell ref="A53:D53"/>
    <mergeCell ref="A64:E64"/>
    <mergeCell ref="A71:E71"/>
    <mergeCell ref="A23:E23"/>
    <mergeCell ref="A67:E67"/>
    <mergeCell ref="A8:E8"/>
    <mergeCell ref="A59:C59"/>
    <mergeCell ref="A37:D37"/>
    <mergeCell ref="A56:D56"/>
    <mergeCell ref="A60:C60"/>
    <mergeCell ref="A61:C61"/>
    <mergeCell ref="A68:E68"/>
    <mergeCell ref="A55:D55"/>
    <mergeCell ref="A58:E58"/>
    <mergeCell ref="A16:C16"/>
    <mergeCell ref="A69:E69"/>
    <mergeCell ref="A65:E65"/>
  </mergeCells>
  <printOptions horizontalCentered="1"/>
  <pageMargins left="0.75" right="0.75" top="1" bottom="1" header="0.5" footer="0.5"/>
  <pageSetup paperSize="9" fitToHeight="0" orientation="portrait"/>
</worksheet>
</file>

<file path=xl/worksheets/sheet6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500-000000000000}">
  <dimension ref="A1:H28"/>
  <sheetViews>
    <sheetView topLeftCell="A7" workbookViewId="0">
      <selection activeCell="J13" sqref="J13"/>
    </sheetView>
  </sheetViews>
  <sheetFormatPr defaultRowHeight="15.05" x14ac:dyDescent="0.3"/>
  <cols>
    <col min="1" max="1" width="26" customWidth="1"/>
    <col min="2" max="2" width="12" customWidth="1"/>
    <col min="3" max="5" width="22" customWidth="1"/>
    <col min="6" max="6" width="20" customWidth="1"/>
    <col min="7" max="7" width="14" customWidth="1"/>
    <col min="8" max="8" width="38" customWidth="1"/>
  </cols>
  <sheetData>
    <row r="1" spans="1:8" ht="23.2" x14ac:dyDescent="0.4">
      <c r="A1" s="140" t="s">
        <v>206</v>
      </c>
      <c r="B1" s="100"/>
      <c r="C1" s="100"/>
      <c r="D1" s="100"/>
      <c r="E1" s="100"/>
      <c r="F1" s="100"/>
      <c r="G1" s="100"/>
      <c r="H1" s="100"/>
    </row>
    <row r="2" spans="1:8" x14ac:dyDescent="0.3">
      <c r="A2" s="1" t="s">
        <v>78</v>
      </c>
      <c r="B2" s="141" t="str">
        <f>Calculator!B4</f>
        <v>Zambia Sugar</v>
      </c>
      <c r="C2" s="105"/>
      <c r="D2" s="106"/>
      <c r="E2" s="1" t="s">
        <v>79</v>
      </c>
      <c r="F2" s="46">
        <f>Calculator!B6</f>
        <v>20</v>
      </c>
    </row>
    <row r="4" spans="1:8" ht="17.55" x14ac:dyDescent="0.3">
      <c r="A4" s="101" t="s">
        <v>207</v>
      </c>
      <c r="B4" s="100"/>
      <c r="C4" s="100"/>
      <c r="D4" s="100"/>
      <c r="E4" s="100"/>
      <c r="F4" s="100"/>
      <c r="G4" s="100"/>
      <c r="H4" s="100"/>
    </row>
    <row r="5" spans="1:8" ht="31.95" customHeight="1" x14ac:dyDescent="0.3">
      <c r="A5" s="4" t="s">
        <v>6</v>
      </c>
      <c r="B5" s="4" t="s">
        <v>208</v>
      </c>
      <c r="C5" s="4" t="s">
        <v>10</v>
      </c>
      <c r="D5" s="4" t="s">
        <v>209</v>
      </c>
      <c r="E5" s="4" t="s">
        <v>210</v>
      </c>
      <c r="F5" s="4" t="s">
        <v>211</v>
      </c>
      <c r="G5" s="4" t="s">
        <v>212</v>
      </c>
      <c r="H5" s="4" t="s">
        <v>213</v>
      </c>
    </row>
    <row r="6" spans="1:8" ht="17.55" x14ac:dyDescent="0.3">
      <c r="A6" s="5" t="s">
        <v>11</v>
      </c>
      <c r="B6" s="64" t="str">
        <f>IF(Calculator!B10,"☑","☐")</f>
        <v>☑</v>
      </c>
      <c r="C6" s="6">
        <f>Calculator!E10</f>
        <v>4703.3333333333321</v>
      </c>
      <c r="D6" s="6">
        <f>Config!B5</f>
        <v>83</v>
      </c>
      <c r="E6" s="7">
        <f>Calculator!B10*D6*$F$2</f>
        <v>1660</v>
      </c>
      <c r="F6" s="8">
        <f>C6-E6</f>
        <v>3043.3333333333321</v>
      </c>
      <c r="G6" s="65">
        <f t="shared" ref="G6:G11" si="0">IFERROR(F6/C6,0)</f>
        <v>0.64705882352941169</v>
      </c>
      <c r="H6" s="66" t="str">
        <f>IF(AND(Calculator!B10,$F$2&gt;=Config!E5),"⚠ "&amp;ROUNDDOWN($F$2/Config!E5,0)&amp;" step(s) crossed: +R"&amp;TEXT(ROUNDDOWN($F$2/Config!E5,0)*Config!F5,"#,##0")&amp;"/mo cost",IF(Calculator!B10,"ok","—"))</f>
        <v>ok</v>
      </c>
    </row>
    <row r="7" spans="1:8" ht="17.55" x14ac:dyDescent="0.3">
      <c r="A7" s="5" t="s">
        <v>12</v>
      </c>
      <c r="B7" s="64" t="str">
        <f>IF(Calculator!B11,"☑","☐")</f>
        <v>☑</v>
      </c>
      <c r="C7" s="6">
        <f>Calculator!E11</f>
        <v>5644</v>
      </c>
      <c r="D7" s="6">
        <f>Config!B6</f>
        <v>83</v>
      </c>
      <c r="E7" s="7">
        <f>Calculator!B11*D7*$F$2</f>
        <v>1660</v>
      </c>
      <c r="F7" s="8">
        <f>C7-E7</f>
        <v>3984</v>
      </c>
      <c r="G7" s="65">
        <f t="shared" si="0"/>
        <v>0.70588235294117652</v>
      </c>
      <c r="H7" s="66" t="str">
        <f>IF(AND(Calculator!B11,$F$2&gt;=Config!E6),"⚠ "&amp;ROUNDDOWN($F$2/Config!E6,0)&amp;" step(s) crossed: +R"&amp;TEXT(ROUNDDOWN($F$2/Config!E6,0)*Config!F6,"#,##0")&amp;"/mo cost",IF(Calculator!B11,"ok","—"))</f>
        <v>ok</v>
      </c>
    </row>
    <row r="8" spans="1:8" ht="17.55" x14ac:dyDescent="0.3">
      <c r="A8" s="5" t="s">
        <v>13</v>
      </c>
      <c r="B8" s="64" t="str">
        <f>IF(Calculator!B12,"☑","☐")</f>
        <v>☑</v>
      </c>
      <c r="C8" s="6">
        <f>Calculator!E12</f>
        <v>3400</v>
      </c>
      <c r="D8" s="6">
        <f>Config!B7</f>
        <v>50</v>
      </c>
      <c r="E8" s="7">
        <f>Calculator!B12*D8*$F$2</f>
        <v>1000</v>
      </c>
      <c r="F8" s="8">
        <f>C8-E8</f>
        <v>2400</v>
      </c>
      <c r="G8" s="65">
        <f t="shared" si="0"/>
        <v>0.70588235294117652</v>
      </c>
      <c r="H8" s="66" t="str">
        <f>IF(AND(Calculator!B12,$F$2&gt;=Config!E7),"⚠ "&amp;ROUNDDOWN($F$2/Config!E7,0)&amp;" step(s) crossed: +R"&amp;TEXT(ROUNDDOWN($F$2/Config!E7,0)*Config!F7,"#,##0")&amp;"/mo cost",IF(Calculator!B12,"ok","—"))</f>
        <v>ok</v>
      </c>
    </row>
    <row r="9" spans="1:8" ht="17.55" x14ac:dyDescent="0.3">
      <c r="A9" s="5" t="s">
        <v>14</v>
      </c>
      <c r="B9" s="64" t="str">
        <f>IF(Calculator!B13,"☑","☐")</f>
        <v>☑</v>
      </c>
      <c r="C9" s="6">
        <f>Calculator!E13</f>
        <v>5644</v>
      </c>
      <c r="D9" s="6">
        <f>Config!B8</f>
        <v>83</v>
      </c>
      <c r="E9" s="7">
        <f>Calculator!B13*D9*$F$2</f>
        <v>1660</v>
      </c>
      <c r="F9" s="8">
        <f>C9-E9</f>
        <v>3984</v>
      </c>
      <c r="G9" s="65">
        <f t="shared" si="0"/>
        <v>0.70588235294117652</v>
      </c>
      <c r="H9" s="66" t="str">
        <f>IF(AND(Calculator!B13,$F$2&gt;=Config!E8),"⚠ "&amp;ROUNDDOWN($F$2/Config!E8,0)&amp;" step(s) crossed: +R"&amp;TEXT(ROUNDDOWN($F$2/Config!E8,0)*Config!F8,"#,##0")&amp;"/mo cost",IF(Calculator!B13,"ok","—"))</f>
        <v>ok</v>
      </c>
    </row>
    <row r="10" spans="1:8" ht="17.55" x14ac:dyDescent="0.3">
      <c r="A10" s="5" t="s">
        <v>15</v>
      </c>
      <c r="B10" s="64" t="str">
        <f>IF(Calculator!B14,"☑","☐")</f>
        <v>☐</v>
      </c>
      <c r="C10" s="6">
        <f>Calculator!E14</f>
        <v>0</v>
      </c>
      <c r="D10" s="6">
        <f>Config!B9</f>
        <v>250</v>
      </c>
      <c r="E10" s="7">
        <f>Calculator!B14*D10*$F$2</f>
        <v>0</v>
      </c>
      <c r="F10" s="8">
        <f>C10-E10</f>
        <v>0</v>
      </c>
      <c r="G10" s="65">
        <f t="shared" si="0"/>
        <v>0</v>
      </c>
      <c r="H10" s="66" t="str">
        <f>IF(AND(Calculator!B14,$F$2&gt;=Config!E9),"⚠ "&amp;ROUNDDOWN($F$2/Config!E9,0)&amp;" step(s) crossed: +R"&amp;TEXT(ROUNDDOWN($F$2/Config!E9,0)*Config!F9,"#,##0")&amp;"/mo cost",IF(Calculator!B14,"ok","—"))</f>
        <v>—</v>
      </c>
    </row>
    <row r="11" spans="1:8" ht="15.65" x14ac:dyDescent="0.3">
      <c r="A11" s="50" t="s">
        <v>214</v>
      </c>
      <c r="B11" s="15"/>
      <c r="C11" s="51">
        <f>SUM(C6:C10)</f>
        <v>19391.333333333332</v>
      </c>
      <c r="D11" s="15"/>
      <c r="E11" s="51">
        <f>SUM(E6:E10)</f>
        <v>5980</v>
      </c>
      <c r="F11" s="51">
        <f>SUM(F6:F10)</f>
        <v>13411.333333333332</v>
      </c>
      <c r="G11" s="67">
        <f t="shared" si="0"/>
        <v>0.69161481074019315</v>
      </c>
      <c r="H11" s="15"/>
    </row>
    <row r="14" spans="1:8" ht="17.55" x14ac:dyDescent="0.3">
      <c r="A14" s="101" t="s">
        <v>215</v>
      </c>
      <c r="B14" s="100"/>
      <c r="C14" s="100"/>
      <c r="D14" s="100"/>
      <c r="E14" s="100"/>
      <c r="F14" s="100"/>
      <c r="G14" s="100"/>
      <c r="H14" s="100"/>
    </row>
    <row r="15" spans="1:8" x14ac:dyDescent="0.3">
      <c r="A15" s="68" t="s">
        <v>216</v>
      </c>
      <c r="F15" s="8">
        <f>SUMPRODUCT(Calculator!B10:B14*Calculator!C10:C14*Calculator!B6)</f>
        <v>22813.333333333332</v>
      </c>
    </row>
    <row r="16" spans="1:8" x14ac:dyDescent="0.3">
      <c r="A16" s="68" t="s">
        <v>217</v>
      </c>
      <c r="E16" s="69">
        <f>Calculator!C19</f>
        <v>0.15</v>
      </c>
      <c r="F16" s="70">
        <f>-F15*Calculator!C19</f>
        <v>-3421.9999999999995</v>
      </c>
    </row>
    <row r="17" spans="1:8" x14ac:dyDescent="0.3">
      <c r="A17" s="68" t="s">
        <v>218</v>
      </c>
      <c r="E17" s="69">
        <f>Calculator!C21</f>
        <v>0</v>
      </c>
      <c r="F17" s="70">
        <f>-(F15+F16)*Calculator!C21</f>
        <v>0</v>
      </c>
    </row>
    <row r="18" spans="1:8" ht="15.65" x14ac:dyDescent="0.3">
      <c r="A18" s="71" t="s">
        <v>219</v>
      </c>
      <c r="B18" s="72"/>
      <c r="C18" s="72"/>
      <c r="D18" s="72"/>
      <c r="E18" s="72"/>
      <c r="F18" s="51">
        <f>F15+F16+F17</f>
        <v>19391.333333333332</v>
      </c>
    </row>
    <row r="19" spans="1:8" x14ac:dyDescent="0.3">
      <c r="A19" s="73" t="s">
        <v>220</v>
      </c>
      <c r="F19" s="74">
        <f>IFERROR((F15-F18)/F15,0)</f>
        <v>0.15</v>
      </c>
    </row>
    <row r="21" spans="1:8" ht="17.55" x14ac:dyDescent="0.3">
      <c r="A21" s="101" t="s">
        <v>221</v>
      </c>
      <c r="B21" s="100"/>
      <c r="C21" s="100"/>
      <c r="D21" s="100"/>
      <c r="E21" s="100"/>
      <c r="F21" s="100"/>
      <c r="G21" s="100"/>
      <c r="H21" s="100"/>
    </row>
    <row r="22" spans="1:8" x14ac:dyDescent="0.3">
      <c r="A22" s="102" t="s">
        <v>222</v>
      </c>
      <c r="B22" s="100"/>
      <c r="C22" s="100"/>
      <c r="D22" s="100"/>
      <c r="E22" s="100"/>
      <c r="F22" s="100"/>
      <c r="G22" s="100"/>
      <c r="H22" s="100"/>
    </row>
    <row r="23" spans="1:8" ht="28.8" x14ac:dyDescent="0.3">
      <c r="A23" s="4" t="s">
        <v>6</v>
      </c>
      <c r="B23" s="4" t="s">
        <v>223</v>
      </c>
      <c r="C23" s="4" t="s">
        <v>224</v>
      </c>
      <c r="D23" s="4" t="s">
        <v>225</v>
      </c>
      <c r="E23" s="4" t="s">
        <v>226</v>
      </c>
      <c r="F23" s="4" t="s">
        <v>227</v>
      </c>
    </row>
    <row r="24" spans="1:8" x14ac:dyDescent="0.3">
      <c r="A24" s="5" t="s">
        <v>11</v>
      </c>
      <c r="B24" s="6">
        <f>Config!B5</f>
        <v>83</v>
      </c>
      <c r="C24" s="7">
        <f>B24*2</f>
        <v>166</v>
      </c>
      <c r="D24" s="7">
        <f>B24/0.4</f>
        <v>207.5</v>
      </c>
      <c r="E24" s="6">
        <f>Calculator!D10</f>
        <v>235.16666666666663</v>
      </c>
      <c r="F24" s="75" t="str">
        <f>IF(E24&lt;C24,"🚨 BELOW 50% FLOOR",IF(E24&lt;D24,"⚠ Below 60%","✓ Healthy"))</f>
        <v>✓ Healthy</v>
      </c>
    </row>
    <row r="25" spans="1:8" x14ac:dyDescent="0.3">
      <c r="A25" s="5" t="s">
        <v>12</v>
      </c>
      <c r="B25" s="6">
        <f>Config!B6</f>
        <v>83</v>
      </c>
      <c r="C25" s="7">
        <f>B25*2</f>
        <v>166</v>
      </c>
      <c r="D25" s="7">
        <f>B25/0.4</f>
        <v>207.5</v>
      </c>
      <c r="E25" s="6">
        <f>Calculator!D11</f>
        <v>282.2</v>
      </c>
      <c r="F25" s="75" t="str">
        <f>IF(E25&lt;C25,"🚨 BELOW 50% FLOOR",IF(E25&lt;D25,"⚠ Below 60%","✓ Healthy"))</f>
        <v>✓ Healthy</v>
      </c>
    </row>
    <row r="26" spans="1:8" x14ac:dyDescent="0.3">
      <c r="A26" s="5" t="s">
        <v>13</v>
      </c>
      <c r="B26" s="6">
        <f>Config!B7</f>
        <v>50</v>
      </c>
      <c r="C26" s="7">
        <f>B26*2</f>
        <v>100</v>
      </c>
      <c r="D26" s="7">
        <f>B26/0.4</f>
        <v>125</v>
      </c>
      <c r="E26" s="6">
        <f>Calculator!D12</f>
        <v>170</v>
      </c>
      <c r="F26" s="75" t="str">
        <f>IF(E26&lt;C26,"🚨 BELOW 50% FLOOR",IF(E26&lt;D26,"⚠ Below 60%","✓ Healthy"))</f>
        <v>✓ Healthy</v>
      </c>
    </row>
    <row r="27" spans="1:8" x14ac:dyDescent="0.3">
      <c r="A27" s="5" t="s">
        <v>14</v>
      </c>
      <c r="B27" s="6">
        <f>Config!B8</f>
        <v>83</v>
      </c>
      <c r="C27" s="7">
        <f>B27*2</f>
        <v>166</v>
      </c>
      <c r="D27" s="7">
        <f>B27/0.4</f>
        <v>207.5</v>
      </c>
      <c r="E27" s="6">
        <f>Calculator!D13</f>
        <v>282.2</v>
      </c>
      <c r="F27" s="75" t="str">
        <f>IF(E27&lt;C27,"🚨 BELOW 50% FLOOR",IF(E27&lt;D27,"⚠ Below 60%","✓ Healthy"))</f>
        <v>✓ Healthy</v>
      </c>
    </row>
    <row r="28" spans="1:8" x14ac:dyDescent="0.3">
      <c r="A28" s="5" t="s">
        <v>15</v>
      </c>
      <c r="B28" s="6">
        <f>Config!B9</f>
        <v>250</v>
      </c>
      <c r="C28" s="7">
        <f>B28*2</f>
        <v>500</v>
      </c>
      <c r="D28" s="7">
        <f>B28/0.4</f>
        <v>625</v>
      </c>
      <c r="E28" s="6">
        <f>Calculator!D14</f>
        <v>850</v>
      </c>
      <c r="F28" s="75" t="str">
        <f>IF(E28&lt;C28,"🚨 BELOW 50% FLOOR",IF(E28&lt;D28,"⚠ Below 60%","✓ Healthy"))</f>
        <v>✓ Healthy</v>
      </c>
    </row>
  </sheetData>
  <mergeCells count="6">
    <mergeCell ref="A22:H22"/>
    <mergeCell ref="A4:H4"/>
    <mergeCell ref="A21:H21"/>
    <mergeCell ref="A14:H14"/>
    <mergeCell ref="A1:H1"/>
    <mergeCell ref="B2:D2"/>
  </mergeCells>
  <conditionalFormatting sqref="G6:G11">
    <cfRule type="cellIs" dxfId="5" priority="1" operator="lessThan">
      <formula>0.5</formula>
    </cfRule>
    <cfRule type="cellIs" dxfId="4" priority="2" operator="between">
      <formula>0.5</formula>
      <formula>0.6</formula>
    </cfRule>
    <cfRule type="cellIs" dxfId="3" priority="3" operator="greaterThanOrEqual">
      <formula>0.6</formula>
    </cfRule>
  </conditionalFormatting>
  <pageMargins left="0.75" right="0.75" top="1" bottom="1" header="0.5" footer="0.5"/>
</worksheet>
</file>

<file path=xl/worksheets/sheet7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600-000000000000}">
  <dimension ref="A1:H82"/>
  <sheetViews>
    <sheetView tabSelected="1" topLeftCell="A28" workbookViewId="0">
      <selection activeCell="O35" sqref="O35"/>
    </sheetView>
  </sheetViews>
  <sheetFormatPr defaultRowHeight="15.05" x14ac:dyDescent="0.3"/>
  <cols>
    <col min="1" max="1" width="52.6640625" bestFit="1" customWidth="1"/>
    <col min="2" max="3" width="22" customWidth="1"/>
    <col min="4" max="4" width="26" customWidth="1"/>
    <col min="5" max="5" width="24" customWidth="1"/>
    <col min="6" max="6" width="22" customWidth="1"/>
    <col min="8" max="8" width="10.21875" bestFit="1" customWidth="1"/>
  </cols>
  <sheetData>
    <row r="1" spans="1:6" ht="23.2" x14ac:dyDescent="0.4">
      <c r="A1" s="142" t="s">
        <v>228</v>
      </c>
      <c r="B1" s="100"/>
      <c r="C1" s="100"/>
      <c r="D1" s="100"/>
      <c r="E1" s="100"/>
      <c r="F1" s="100"/>
    </row>
    <row r="3" spans="1:6" ht="17.55" x14ac:dyDescent="0.3">
      <c r="A3" s="101" t="s">
        <v>229</v>
      </c>
      <c r="B3" s="100"/>
      <c r="C3" s="100"/>
      <c r="D3" s="100"/>
      <c r="E3" s="100"/>
      <c r="F3" s="100"/>
    </row>
    <row r="4" spans="1:6" ht="31.95" customHeight="1" x14ac:dyDescent="0.3">
      <c r="A4" s="4" t="s">
        <v>6</v>
      </c>
      <c r="B4" s="4" t="s">
        <v>230</v>
      </c>
      <c r="C4" s="4" t="s">
        <v>231</v>
      </c>
      <c r="D4" s="4" t="s">
        <v>232</v>
      </c>
      <c r="E4" s="4" t="s">
        <v>233</v>
      </c>
      <c r="F4" s="4" t="s">
        <v>234</v>
      </c>
    </row>
    <row r="5" spans="1:6" x14ac:dyDescent="0.3">
      <c r="A5" s="5" t="s">
        <v>11</v>
      </c>
      <c r="B5" s="76">
        <v>83</v>
      </c>
      <c r="C5" s="40">
        <v>0.7</v>
      </c>
      <c r="D5" s="77">
        <f>B5/(1-C5)</f>
        <v>276.66666666666663</v>
      </c>
      <c r="E5" s="3">
        <v>300</v>
      </c>
      <c r="F5" s="76">
        <v>25000</v>
      </c>
    </row>
    <row r="6" spans="1:6" x14ac:dyDescent="0.3">
      <c r="A6" s="5" t="s">
        <v>12</v>
      </c>
      <c r="B6" s="76">
        <v>83</v>
      </c>
      <c r="C6" s="40">
        <v>0.75</v>
      </c>
      <c r="D6" s="77">
        <f>B6/(1-C6)</f>
        <v>332</v>
      </c>
      <c r="E6" s="3">
        <v>300</v>
      </c>
      <c r="F6" s="76">
        <v>25000</v>
      </c>
    </row>
    <row r="7" spans="1:6" x14ac:dyDescent="0.3">
      <c r="A7" s="5" t="s">
        <v>13</v>
      </c>
      <c r="B7" s="76">
        <v>50</v>
      </c>
      <c r="C7" s="40">
        <v>0.75</v>
      </c>
      <c r="D7" s="77">
        <f>B7/(1-C7)</f>
        <v>200</v>
      </c>
      <c r="E7" s="3">
        <v>500</v>
      </c>
      <c r="F7" s="76">
        <v>25000</v>
      </c>
    </row>
    <row r="8" spans="1:6" x14ac:dyDescent="0.3">
      <c r="A8" s="5" t="s">
        <v>14</v>
      </c>
      <c r="B8" s="76">
        <v>83</v>
      </c>
      <c r="C8" s="40">
        <v>0.75</v>
      </c>
      <c r="D8" s="77">
        <f>B8/(1-C8)</f>
        <v>332</v>
      </c>
      <c r="E8" s="3">
        <v>300</v>
      </c>
      <c r="F8" s="76">
        <v>25000</v>
      </c>
    </row>
    <row r="9" spans="1:6" x14ac:dyDescent="0.3">
      <c r="A9" s="5" t="s">
        <v>15</v>
      </c>
      <c r="B9" s="76">
        <v>250</v>
      </c>
      <c r="C9" s="40">
        <v>0.75</v>
      </c>
      <c r="D9" s="77">
        <f>B9/(1-C9)</f>
        <v>1000</v>
      </c>
      <c r="E9" s="3">
        <v>100</v>
      </c>
      <c r="F9" s="76">
        <v>25000</v>
      </c>
    </row>
    <row r="10" spans="1:6" x14ac:dyDescent="0.3">
      <c r="A10" s="5" t="s">
        <v>330</v>
      </c>
      <c r="B10" s="76">
        <v>87</v>
      </c>
      <c r="C10" s="40">
        <v>0.75</v>
      </c>
      <c r="D10" s="77">
        <f>B10/(1-C10)</f>
        <v>348</v>
      </c>
      <c r="E10" s="3">
        <v>100</v>
      </c>
      <c r="F10" s="76">
        <v>25000</v>
      </c>
    </row>
    <row r="12" spans="1:6" ht="17.55" x14ac:dyDescent="0.3">
      <c r="A12" s="101" t="s">
        <v>235</v>
      </c>
      <c r="B12" s="100"/>
      <c r="C12" s="100"/>
      <c r="D12" s="100"/>
      <c r="E12" s="100"/>
      <c r="F12" s="100"/>
    </row>
    <row r="13" spans="1:6" x14ac:dyDescent="0.3">
      <c r="A13" s="4" t="s">
        <v>236</v>
      </c>
      <c r="B13" s="4" t="s">
        <v>83</v>
      </c>
      <c r="C13" s="4" t="s">
        <v>237</v>
      </c>
    </row>
    <row r="14" spans="1:6" x14ac:dyDescent="0.3">
      <c r="A14" s="75">
        <v>1</v>
      </c>
      <c r="B14" s="40">
        <v>0</v>
      </c>
      <c r="C14" s="78">
        <f>1-B14</f>
        <v>1</v>
      </c>
    </row>
    <row r="15" spans="1:6" x14ac:dyDescent="0.3">
      <c r="A15" s="75">
        <v>2</v>
      </c>
      <c r="B15" s="40">
        <v>0.05</v>
      </c>
      <c r="C15" s="78">
        <f>1-B15</f>
        <v>0.95</v>
      </c>
    </row>
    <row r="16" spans="1:6" x14ac:dyDescent="0.3">
      <c r="A16" s="75">
        <v>3</v>
      </c>
      <c r="B16" s="40">
        <v>0.1</v>
      </c>
      <c r="C16" s="78">
        <f>1-B16</f>
        <v>0.9</v>
      </c>
    </row>
    <row r="17" spans="1:6" x14ac:dyDescent="0.3">
      <c r="A17" s="75">
        <v>4</v>
      </c>
      <c r="B17" s="40">
        <v>0.15</v>
      </c>
      <c r="C17" s="78">
        <f>1-B17</f>
        <v>0.85</v>
      </c>
    </row>
    <row r="18" spans="1:6" x14ac:dyDescent="0.3">
      <c r="A18" s="75">
        <v>5</v>
      </c>
      <c r="B18" s="40">
        <v>0.2</v>
      </c>
      <c r="C18" s="78">
        <f>1-B18</f>
        <v>0.8</v>
      </c>
    </row>
    <row r="20" spans="1:6" ht="17.55" x14ac:dyDescent="0.3">
      <c r="A20" s="101" t="s">
        <v>238</v>
      </c>
      <c r="B20" s="100"/>
      <c r="C20" s="100"/>
      <c r="D20" s="100"/>
      <c r="E20" s="100"/>
      <c r="F20" s="100"/>
    </row>
    <row r="21" spans="1:6" x14ac:dyDescent="0.3">
      <c r="A21" s="4" t="s">
        <v>239</v>
      </c>
      <c r="B21" s="4" t="s">
        <v>240</v>
      </c>
      <c r="C21" s="4" t="s">
        <v>241</v>
      </c>
      <c r="D21" s="4" t="s">
        <v>83</v>
      </c>
      <c r="E21" s="4" t="s">
        <v>237</v>
      </c>
    </row>
    <row r="22" spans="1:6" x14ac:dyDescent="0.3">
      <c r="A22" s="3">
        <v>1</v>
      </c>
      <c r="B22" s="3">
        <v>50</v>
      </c>
      <c r="C22" s="5" t="s">
        <v>242</v>
      </c>
      <c r="D22" s="40">
        <v>0</v>
      </c>
      <c r="E22" s="78">
        <f>1-D22</f>
        <v>1</v>
      </c>
    </row>
    <row r="23" spans="1:6" x14ac:dyDescent="0.3">
      <c r="A23" s="3">
        <v>51</v>
      </c>
      <c r="B23" s="3">
        <v>200</v>
      </c>
      <c r="C23" s="5" t="s">
        <v>243</v>
      </c>
      <c r="D23" s="40">
        <v>0.05</v>
      </c>
      <c r="E23" s="78">
        <f>1-D23</f>
        <v>0.95</v>
      </c>
    </row>
    <row r="24" spans="1:6" x14ac:dyDescent="0.3">
      <c r="A24" s="3">
        <v>201</v>
      </c>
      <c r="B24" s="3">
        <v>500</v>
      </c>
      <c r="C24" s="5" t="s">
        <v>244</v>
      </c>
      <c r="D24" s="40">
        <v>0.1</v>
      </c>
      <c r="E24" s="78">
        <f>1-D24</f>
        <v>0.9</v>
      </c>
    </row>
    <row r="25" spans="1:6" x14ac:dyDescent="0.3">
      <c r="A25" s="3">
        <v>501</v>
      </c>
      <c r="B25" s="3">
        <v>2000</v>
      </c>
      <c r="C25" s="5" t="s">
        <v>245</v>
      </c>
      <c r="D25" s="40">
        <v>0.18</v>
      </c>
      <c r="E25" s="78">
        <f>1-D25</f>
        <v>0.82000000000000006</v>
      </c>
    </row>
    <row r="26" spans="1:6" x14ac:dyDescent="0.3">
      <c r="A26" s="3">
        <v>2000</v>
      </c>
      <c r="B26" s="3">
        <v>999999</v>
      </c>
      <c r="C26" s="5" t="s">
        <v>246</v>
      </c>
      <c r="D26" s="40">
        <v>0.25</v>
      </c>
      <c r="E26" s="78">
        <f>1-D26</f>
        <v>0.75</v>
      </c>
    </row>
    <row r="29" spans="1:6" ht="17.55" x14ac:dyDescent="0.3">
      <c r="A29" s="101" t="s">
        <v>247</v>
      </c>
      <c r="B29" s="100"/>
      <c r="C29" s="100"/>
      <c r="D29" s="100"/>
      <c r="E29" s="100"/>
      <c r="F29" s="100"/>
    </row>
    <row r="30" spans="1:6" x14ac:dyDescent="0.3">
      <c r="A30" s="5" t="s">
        <v>248</v>
      </c>
      <c r="B30" s="79">
        <v>1000</v>
      </c>
      <c r="C30" s="102" t="s">
        <v>249</v>
      </c>
      <c r="D30" s="100"/>
      <c r="E30" s="100"/>
      <c r="F30" s="100"/>
    </row>
    <row r="31" spans="1:6" x14ac:dyDescent="0.3">
      <c r="A31" s="5" t="s">
        <v>250</v>
      </c>
      <c r="B31" s="79">
        <v>1325</v>
      </c>
      <c r="C31" s="102" t="s">
        <v>251</v>
      </c>
      <c r="D31" s="100"/>
      <c r="E31" s="100"/>
      <c r="F31" s="100"/>
    </row>
    <row r="33" spans="1:8" ht="17.55" x14ac:dyDescent="0.3">
      <c r="A33" s="101" t="s">
        <v>252</v>
      </c>
      <c r="B33" s="100"/>
      <c r="C33" s="100"/>
      <c r="D33" s="100"/>
      <c r="E33" s="100"/>
      <c r="F33" s="100"/>
    </row>
    <row r="34" spans="1:8" x14ac:dyDescent="0.3">
      <c r="A34" s="4" t="s">
        <v>121</v>
      </c>
      <c r="B34" s="4" t="s">
        <v>253</v>
      </c>
      <c r="C34" s="4" t="s">
        <v>254</v>
      </c>
      <c r="D34" s="4" t="s">
        <v>123</v>
      </c>
      <c r="E34" s="4" t="s">
        <v>68</v>
      </c>
    </row>
    <row r="35" spans="1:8" x14ac:dyDescent="0.3">
      <c r="A35" s="5" t="s">
        <v>125</v>
      </c>
      <c r="B35" s="79">
        <v>3938</v>
      </c>
      <c r="C35" s="40">
        <v>0.25</v>
      </c>
      <c r="D35" s="80">
        <f t="shared" ref="D35:D41" si="0">B35*(1+C35)</f>
        <v>4922.5</v>
      </c>
      <c r="E35" s="41" t="s">
        <v>255</v>
      </c>
    </row>
    <row r="36" spans="1:8" x14ac:dyDescent="0.3">
      <c r="A36" s="5" t="s">
        <v>256</v>
      </c>
      <c r="B36" s="79">
        <v>3999</v>
      </c>
      <c r="C36" s="40">
        <v>0.25</v>
      </c>
      <c r="D36" s="80">
        <f t="shared" si="0"/>
        <v>4998.75</v>
      </c>
      <c r="E36" s="41" t="s">
        <v>257</v>
      </c>
    </row>
    <row r="37" spans="1:8" x14ac:dyDescent="0.3">
      <c r="A37" s="5" t="s">
        <v>258</v>
      </c>
      <c r="B37" s="79">
        <v>2973</v>
      </c>
      <c r="C37" s="40">
        <v>0.25</v>
      </c>
      <c r="D37" s="80">
        <f t="shared" si="0"/>
        <v>3716.25</v>
      </c>
      <c r="E37" s="41" t="s">
        <v>259</v>
      </c>
    </row>
    <row r="38" spans="1:8" x14ac:dyDescent="0.3">
      <c r="A38" s="5" t="s">
        <v>128</v>
      </c>
      <c r="B38" s="79">
        <v>3606</v>
      </c>
      <c r="C38" s="40">
        <v>0.25</v>
      </c>
      <c r="D38" s="80">
        <f t="shared" si="0"/>
        <v>4507.5</v>
      </c>
      <c r="E38" s="41" t="s">
        <v>260</v>
      </c>
    </row>
    <row r="39" spans="1:8" x14ac:dyDescent="0.3">
      <c r="A39" s="5" t="s">
        <v>130</v>
      </c>
      <c r="B39" s="79">
        <v>639</v>
      </c>
      <c r="C39" s="40">
        <v>0.25</v>
      </c>
      <c r="D39" s="80">
        <f t="shared" si="0"/>
        <v>798.75</v>
      </c>
      <c r="E39" s="41" t="s">
        <v>261</v>
      </c>
      <c r="H39" s="79">
        <v>1749</v>
      </c>
    </row>
    <row r="40" spans="1:8" x14ac:dyDescent="0.3">
      <c r="A40" s="5" t="s">
        <v>133</v>
      </c>
      <c r="B40" s="79">
        <v>1403</v>
      </c>
      <c r="C40" s="40">
        <v>0.25</v>
      </c>
      <c r="D40" s="80">
        <f t="shared" si="0"/>
        <v>1753.75</v>
      </c>
      <c r="E40" s="41" t="s">
        <v>262</v>
      </c>
    </row>
    <row r="41" spans="1:8" x14ac:dyDescent="0.3">
      <c r="A41" s="5" t="s">
        <v>263</v>
      </c>
      <c r="B41" s="79">
        <v>1749</v>
      </c>
      <c r="C41" s="40">
        <v>0.25</v>
      </c>
      <c r="D41" s="80">
        <f t="shared" si="0"/>
        <v>2186.25</v>
      </c>
      <c r="E41" s="41" t="s">
        <v>264</v>
      </c>
      <c r="G41">
        <f>106*16.5</f>
        <v>1749</v>
      </c>
      <c r="H41">
        <f>188*16.5</f>
        <v>3102</v>
      </c>
    </row>
    <row r="42" spans="1:8" x14ac:dyDescent="0.3">
      <c r="A42" s="5" t="s">
        <v>331</v>
      </c>
      <c r="B42" s="79">
        <v>8712</v>
      </c>
      <c r="C42" s="40">
        <v>0.25</v>
      </c>
      <c r="D42" s="80">
        <f t="shared" ref="D42" si="1">B42*(1+C42)</f>
        <v>10890</v>
      </c>
      <c r="E42" s="41" t="s">
        <v>332</v>
      </c>
    </row>
    <row r="44" spans="1:8" ht="17.55" x14ac:dyDescent="0.3">
      <c r="A44" s="101" t="s">
        <v>265</v>
      </c>
      <c r="B44" s="100"/>
      <c r="C44" s="100"/>
      <c r="D44" s="100"/>
      <c r="E44" s="100"/>
      <c r="F44" s="100"/>
    </row>
    <row r="45" spans="1:8" x14ac:dyDescent="0.3">
      <c r="A45" s="4" t="s">
        <v>144</v>
      </c>
      <c r="B45" s="4" t="s">
        <v>145</v>
      </c>
    </row>
    <row r="46" spans="1:8" x14ac:dyDescent="0.3">
      <c r="A46" s="56" t="s">
        <v>266</v>
      </c>
      <c r="B46" s="79">
        <v>800</v>
      </c>
    </row>
    <row r="47" spans="1:8" x14ac:dyDescent="0.3">
      <c r="A47" s="56" t="s">
        <v>267</v>
      </c>
      <c r="B47" s="79">
        <v>1200</v>
      </c>
    </row>
    <row r="48" spans="1:8" x14ac:dyDescent="0.3">
      <c r="A48" s="56" t="s">
        <v>268</v>
      </c>
      <c r="B48" s="79">
        <v>1600</v>
      </c>
      <c r="C48">
        <v>1600</v>
      </c>
    </row>
    <row r="49" spans="1:6" x14ac:dyDescent="0.3">
      <c r="A49" s="56" t="s">
        <v>269</v>
      </c>
      <c r="B49" s="79">
        <v>2200</v>
      </c>
    </row>
    <row r="50" spans="1:6" x14ac:dyDescent="0.3">
      <c r="A50" s="145" t="s">
        <v>333</v>
      </c>
      <c r="B50" s="144">
        <v>1600</v>
      </c>
    </row>
    <row r="52" spans="1:6" ht="17.55" x14ac:dyDescent="0.3">
      <c r="A52" s="101" t="s">
        <v>117</v>
      </c>
      <c r="B52" s="100"/>
      <c r="C52" s="100"/>
      <c r="D52" s="100"/>
      <c r="E52" s="100"/>
      <c r="F52" s="100"/>
    </row>
    <row r="53" spans="1:6" x14ac:dyDescent="0.3">
      <c r="A53" s="5" t="s">
        <v>270</v>
      </c>
      <c r="B53" s="40">
        <v>0.2</v>
      </c>
      <c r="C53" s="102" t="s">
        <v>271</v>
      </c>
      <c r="D53" s="100"/>
      <c r="E53" s="100"/>
      <c r="F53" s="100"/>
    </row>
    <row r="55" spans="1:6" ht="17.55" x14ac:dyDescent="0.3">
      <c r="A55" s="101" t="s">
        <v>169</v>
      </c>
      <c r="B55" s="100"/>
      <c r="C55" s="100"/>
      <c r="D55" s="100"/>
      <c r="E55" s="100"/>
      <c r="F55" s="100"/>
    </row>
    <row r="56" spans="1:6" x14ac:dyDescent="0.3">
      <c r="A56" s="5" t="s">
        <v>272</v>
      </c>
      <c r="B56" s="40">
        <v>0.13</v>
      </c>
      <c r="C56" s="102" t="s">
        <v>273</v>
      </c>
      <c r="D56" s="100"/>
      <c r="E56" s="100"/>
      <c r="F56" s="100"/>
    </row>
    <row r="57" spans="1:6" x14ac:dyDescent="0.3">
      <c r="A57" s="5" t="s">
        <v>274</v>
      </c>
      <c r="B57" s="40">
        <v>0.05</v>
      </c>
      <c r="C57" s="102" t="s">
        <v>275</v>
      </c>
      <c r="D57" s="100"/>
      <c r="E57" s="100"/>
      <c r="F57" s="100"/>
    </row>
    <row r="58" spans="1:6" x14ac:dyDescent="0.3">
      <c r="A58" s="5" t="s">
        <v>276</v>
      </c>
      <c r="B58" s="18">
        <f>B56+B57</f>
        <v>0.18</v>
      </c>
      <c r="C58" s="102" t="s">
        <v>277</v>
      </c>
      <c r="D58" s="100"/>
      <c r="E58" s="100"/>
      <c r="F58" s="100"/>
    </row>
    <row r="59" spans="1:6" x14ac:dyDescent="0.3">
      <c r="A59" s="5" t="s">
        <v>278</v>
      </c>
      <c r="B59" s="40">
        <v>7.4999999999999997E-3</v>
      </c>
      <c r="C59" s="102" t="s">
        <v>279</v>
      </c>
      <c r="D59" s="100"/>
      <c r="E59" s="100"/>
      <c r="F59" s="100"/>
    </row>
    <row r="61" spans="1:6" ht="15.65" x14ac:dyDescent="0.3">
      <c r="A61" s="81" t="s">
        <v>280</v>
      </c>
    </row>
    <row r="62" spans="1:6" x14ac:dyDescent="0.3">
      <c r="A62" s="102" t="s">
        <v>281</v>
      </c>
      <c r="B62" s="100"/>
      <c r="C62" s="100"/>
      <c r="D62" s="100"/>
      <c r="E62" s="100"/>
      <c r="F62" s="100"/>
    </row>
    <row r="63" spans="1:6" x14ac:dyDescent="0.3">
      <c r="A63" s="102" t="s">
        <v>282</v>
      </c>
      <c r="B63" s="100"/>
      <c r="C63" s="100"/>
      <c r="D63" s="100"/>
      <c r="E63" s="100"/>
      <c r="F63" s="100"/>
    </row>
    <row r="64" spans="1:6" x14ac:dyDescent="0.3">
      <c r="A64" s="102" t="s">
        <v>283</v>
      </c>
      <c r="B64" s="100"/>
      <c r="C64" s="100"/>
      <c r="D64" s="100"/>
      <c r="E64" s="100"/>
      <c r="F64" s="100"/>
    </row>
    <row r="65" spans="1:6" x14ac:dyDescent="0.3">
      <c r="A65" s="102" t="s">
        <v>284</v>
      </c>
      <c r="B65" s="100"/>
      <c r="C65" s="100"/>
      <c r="D65" s="100"/>
      <c r="E65" s="100"/>
      <c r="F65" s="100"/>
    </row>
    <row r="66" spans="1:6" x14ac:dyDescent="0.3">
      <c r="A66" s="102" t="s">
        <v>285</v>
      </c>
      <c r="B66" s="100"/>
      <c r="C66" s="100"/>
      <c r="D66" s="100"/>
      <c r="E66" s="100"/>
      <c r="F66" s="100"/>
    </row>
    <row r="67" spans="1:6" x14ac:dyDescent="0.3">
      <c r="A67" s="102" t="s">
        <v>286</v>
      </c>
      <c r="B67" s="100"/>
      <c r="C67" s="100"/>
      <c r="D67" s="100"/>
      <c r="E67" s="100"/>
      <c r="F67" s="100"/>
    </row>
    <row r="68" spans="1:6" x14ac:dyDescent="0.3">
      <c r="A68" s="102" t="s">
        <v>287</v>
      </c>
      <c r="B68" s="100"/>
      <c r="C68" s="100"/>
      <c r="D68" s="100"/>
      <c r="E68" s="100"/>
      <c r="F68" s="100"/>
    </row>
    <row r="69" spans="1:6" x14ac:dyDescent="0.3">
      <c r="A69" s="102" t="s">
        <v>288</v>
      </c>
      <c r="B69" s="100"/>
      <c r="C69" s="100"/>
      <c r="D69" s="100"/>
      <c r="E69" s="100"/>
      <c r="F69" s="100"/>
    </row>
    <row r="70" spans="1:6" x14ac:dyDescent="0.3">
      <c r="A70" s="102" t="s">
        <v>289</v>
      </c>
      <c r="B70" s="100"/>
      <c r="C70" s="100"/>
      <c r="D70" s="100"/>
      <c r="E70" s="100"/>
      <c r="F70" s="100"/>
    </row>
    <row r="71" spans="1:6" x14ac:dyDescent="0.3">
      <c r="A71" s="102" t="s">
        <v>290</v>
      </c>
      <c r="B71" s="100"/>
      <c r="C71" s="100"/>
      <c r="D71" s="100"/>
      <c r="E71" s="100"/>
      <c r="F71" s="100"/>
    </row>
    <row r="72" spans="1:6" x14ac:dyDescent="0.3">
      <c r="A72" s="102" t="s">
        <v>291</v>
      </c>
      <c r="B72" s="100"/>
      <c r="C72" s="100"/>
      <c r="D72" s="100"/>
      <c r="E72" s="100"/>
      <c r="F72" s="100"/>
    </row>
    <row r="73" spans="1:6" x14ac:dyDescent="0.3">
      <c r="A73" s="102" t="s">
        <v>292</v>
      </c>
      <c r="B73" s="100"/>
      <c r="C73" s="100"/>
      <c r="D73" s="100"/>
      <c r="E73" s="100"/>
      <c r="F73" s="100"/>
    </row>
    <row r="74" spans="1:6" x14ac:dyDescent="0.3">
      <c r="A74" s="102" t="s">
        <v>293</v>
      </c>
      <c r="B74" s="100"/>
      <c r="C74" s="100"/>
      <c r="D74" s="100"/>
      <c r="E74" s="100"/>
      <c r="F74" s="100"/>
    </row>
    <row r="75" spans="1:6" x14ac:dyDescent="0.3">
      <c r="A75" s="102" t="s">
        <v>294</v>
      </c>
      <c r="B75" s="100"/>
      <c r="C75" s="100"/>
      <c r="D75" s="100"/>
      <c r="E75" s="100"/>
      <c r="F75" s="100"/>
    </row>
    <row r="76" spans="1:6" x14ac:dyDescent="0.3">
      <c r="A76" s="102" t="s">
        <v>295</v>
      </c>
      <c r="B76" s="100"/>
      <c r="C76" s="100"/>
      <c r="D76" s="100"/>
      <c r="E76" s="100"/>
      <c r="F76" s="100"/>
    </row>
    <row r="77" spans="1:6" x14ac:dyDescent="0.3">
      <c r="A77" s="102" t="s">
        <v>296</v>
      </c>
      <c r="B77" s="100"/>
      <c r="C77" s="100"/>
      <c r="D77" s="100"/>
      <c r="E77" s="100"/>
      <c r="F77" s="100"/>
    </row>
    <row r="78" spans="1:6" x14ac:dyDescent="0.3">
      <c r="A78" s="102" t="s">
        <v>297</v>
      </c>
      <c r="B78" s="100"/>
      <c r="C78" s="100"/>
      <c r="D78" s="100"/>
      <c r="E78" s="100"/>
      <c r="F78" s="100"/>
    </row>
    <row r="79" spans="1:6" x14ac:dyDescent="0.3">
      <c r="A79" s="102" t="s">
        <v>298</v>
      </c>
      <c r="B79" s="100"/>
      <c r="C79" s="100"/>
      <c r="D79" s="100"/>
      <c r="E79" s="100"/>
      <c r="F79" s="100"/>
    </row>
    <row r="80" spans="1:6" x14ac:dyDescent="0.3">
      <c r="A80" s="102" t="s">
        <v>299</v>
      </c>
      <c r="B80" s="100"/>
      <c r="C80" s="100"/>
      <c r="D80" s="100"/>
      <c r="E80" s="100"/>
      <c r="F80" s="100"/>
    </row>
    <row r="81" spans="1:6" x14ac:dyDescent="0.3">
      <c r="A81" s="102" t="s">
        <v>300</v>
      </c>
      <c r="B81" s="100"/>
      <c r="C81" s="100"/>
      <c r="D81" s="100"/>
      <c r="E81" s="100"/>
      <c r="F81" s="100"/>
    </row>
    <row r="82" spans="1:6" x14ac:dyDescent="0.3">
      <c r="A82" s="102" t="s">
        <v>301</v>
      </c>
      <c r="B82" s="100"/>
      <c r="C82" s="100"/>
      <c r="D82" s="100"/>
      <c r="E82" s="100"/>
      <c r="F82" s="100"/>
    </row>
  </sheetData>
  <mergeCells count="37">
    <mergeCell ref="A78:F78"/>
    <mergeCell ref="A77:F77"/>
    <mergeCell ref="A3:F3"/>
    <mergeCell ref="A74:F74"/>
    <mergeCell ref="C56:F56"/>
    <mergeCell ref="A44:F44"/>
    <mergeCell ref="A29:F29"/>
    <mergeCell ref="A20:F20"/>
    <mergeCell ref="C30:F30"/>
    <mergeCell ref="A12:F12"/>
    <mergeCell ref="A33:F33"/>
    <mergeCell ref="C31:F31"/>
    <mergeCell ref="A65:F65"/>
    <mergeCell ref="A75:F75"/>
    <mergeCell ref="A66:F66"/>
    <mergeCell ref="A55:F55"/>
    <mergeCell ref="A71:F71"/>
    <mergeCell ref="A70:F70"/>
    <mergeCell ref="C57:F57"/>
    <mergeCell ref="A52:F52"/>
    <mergeCell ref="A69:F69"/>
    <mergeCell ref="A1:F1"/>
    <mergeCell ref="A73:F73"/>
    <mergeCell ref="A82:F82"/>
    <mergeCell ref="A64:F64"/>
    <mergeCell ref="A81:F81"/>
    <mergeCell ref="A72:F72"/>
    <mergeCell ref="A68:F68"/>
    <mergeCell ref="A80:F80"/>
    <mergeCell ref="C58:F58"/>
    <mergeCell ref="C53:F53"/>
    <mergeCell ref="A62:F62"/>
    <mergeCell ref="A67:F67"/>
    <mergeCell ref="A76:F76"/>
    <mergeCell ref="C59:F59"/>
    <mergeCell ref="A63:F63"/>
    <mergeCell ref="A79:F79"/>
  </mergeCells>
  <pageMargins left="0.75" right="0.75" top="1" bottom="1" header="0.5" footer="0.5"/>
</worksheet>
</file>

<file path=xl/worksheets/sheet8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700-000000000000}">
  <dimension ref="A1:E27"/>
  <sheetViews>
    <sheetView topLeftCell="A6" workbookViewId="0">
      <selection activeCell="I7" sqref="I7"/>
    </sheetView>
  </sheetViews>
  <sheetFormatPr defaultRowHeight="15.05" x14ac:dyDescent="0.3"/>
  <cols>
    <col min="1" max="1" width="32" customWidth="1"/>
    <col min="2" max="2" width="22" customWidth="1"/>
    <col min="3" max="3" width="26.21875" customWidth="1"/>
    <col min="4" max="4" width="25.33203125" customWidth="1"/>
    <col min="5" max="5" width="4" customWidth="1"/>
  </cols>
  <sheetData>
    <row r="1" spans="1:5" ht="23.2" x14ac:dyDescent="0.4">
      <c r="A1" s="143" t="s">
        <v>302</v>
      </c>
      <c r="B1" s="100"/>
      <c r="C1" s="100"/>
      <c r="D1" s="100"/>
      <c r="E1" s="100"/>
    </row>
    <row r="2" spans="1:5" x14ac:dyDescent="0.3">
      <c r="A2" s="102" t="s">
        <v>303</v>
      </c>
      <c r="B2" s="100"/>
      <c r="C2" s="100"/>
      <c r="D2" s="100"/>
      <c r="E2" s="100"/>
    </row>
    <row r="4" spans="1:5" ht="16.899999999999999" x14ac:dyDescent="0.3">
      <c r="A4" s="82"/>
      <c r="B4" s="83" t="s">
        <v>304</v>
      </c>
      <c r="C4" s="83" t="s">
        <v>305</v>
      </c>
      <c r="D4" s="83" t="s">
        <v>306</v>
      </c>
    </row>
    <row r="5" spans="1:5" x14ac:dyDescent="0.3">
      <c r="A5" s="5" t="s">
        <v>307</v>
      </c>
      <c r="B5" s="59" t="s">
        <v>308</v>
      </c>
      <c r="C5" s="59" t="s">
        <v>309</v>
      </c>
      <c r="D5" s="59" t="s">
        <v>310</v>
      </c>
    </row>
    <row r="6" spans="1:5" x14ac:dyDescent="0.3">
      <c r="A6" s="5" t="s">
        <v>311</v>
      </c>
      <c r="B6" s="3">
        <v>50</v>
      </c>
      <c r="C6" s="3">
        <v>250</v>
      </c>
      <c r="D6" s="3">
        <v>1200</v>
      </c>
    </row>
    <row r="7" spans="1:5" x14ac:dyDescent="0.3">
      <c r="A7" s="84" t="s">
        <v>312</v>
      </c>
      <c r="B7" s="54"/>
      <c r="C7" s="54"/>
      <c r="D7" s="54"/>
    </row>
    <row r="8" spans="1:5" ht="22.1" customHeight="1" x14ac:dyDescent="0.3">
      <c r="A8" s="56" t="s">
        <v>11</v>
      </c>
      <c r="B8" s="94" t="b">
        <v>1</v>
      </c>
      <c r="C8" s="94">
        <v>0</v>
      </c>
      <c r="D8" s="94">
        <v>0</v>
      </c>
    </row>
    <row r="9" spans="1:5" ht="22.1" customHeight="1" x14ac:dyDescent="0.3">
      <c r="A9" s="56" t="s">
        <v>12</v>
      </c>
      <c r="B9" s="94">
        <v>0</v>
      </c>
      <c r="C9" s="94" t="b">
        <v>1</v>
      </c>
      <c r="D9" s="94" t="b">
        <v>1</v>
      </c>
    </row>
    <row r="10" spans="1:5" ht="22.1" customHeight="1" x14ac:dyDescent="0.3">
      <c r="A10" s="56" t="s">
        <v>13</v>
      </c>
      <c r="B10" s="94">
        <v>0</v>
      </c>
      <c r="C10" s="94" t="b">
        <v>1</v>
      </c>
      <c r="D10" s="94" t="b">
        <v>1</v>
      </c>
    </row>
    <row r="11" spans="1:5" ht="22.1" customHeight="1" x14ac:dyDescent="0.3">
      <c r="A11" s="56" t="s">
        <v>14</v>
      </c>
      <c r="B11" s="94">
        <v>0</v>
      </c>
      <c r="C11" s="94" t="b">
        <v>1</v>
      </c>
      <c r="D11" s="94" t="b">
        <v>1</v>
      </c>
    </row>
    <row r="12" spans="1:5" ht="22.1" customHeight="1" x14ac:dyDescent="0.3">
      <c r="A12" s="56" t="s">
        <v>15</v>
      </c>
      <c r="B12" s="94">
        <v>0</v>
      </c>
      <c r="C12" s="94">
        <v>0</v>
      </c>
      <c r="D12" s="94" t="b">
        <v>1</v>
      </c>
    </row>
    <row r="14" spans="1:5" x14ac:dyDescent="0.3">
      <c r="A14" s="84" t="s">
        <v>313</v>
      </c>
      <c r="B14" s="54"/>
      <c r="C14" s="54"/>
      <c r="D14" s="54"/>
    </row>
    <row r="15" spans="1:5" x14ac:dyDescent="0.3">
      <c r="A15" s="56" t="s">
        <v>314</v>
      </c>
      <c r="B15" s="48">
        <f>SUMPRODUCT(--B8:B12)</f>
        <v>1</v>
      </c>
      <c r="C15" s="48">
        <f>SUMPRODUCT(--C8:C12)</f>
        <v>3</v>
      </c>
      <c r="D15" s="48">
        <f>SUMPRODUCT(--D8:D12)</f>
        <v>4</v>
      </c>
    </row>
    <row r="16" spans="1:5" x14ac:dyDescent="0.3">
      <c r="A16" s="56" t="s">
        <v>315</v>
      </c>
      <c r="B16" s="85">
        <f>IFERROR(VLOOKUP(B15,Config!$A$14:$C$18,3,FALSE),1)</f>
        <v>1</v>
      </c>
      <c r="C16" s="85">
        <f>IFERROR(VLOOKUP(C15,Config!$A$14:$C$18,3,FALSE),1)</f>
        <v>0.9</v>
      </c>
      <c r="D16" s="85">
        <f>IFERROR(VLOOKUP(D15,Config!$A$14:$C$18,3,FALSE),1)</f>
        <v>0.85</v>
      </c>
    </row>
    <row r="17" spans="1:5" x14ac:dyDescent="0.3">
      <c r="A17" s="56" t="s">
        <v>316</v>
      </c>
      <c r="B17" s="85">
        <f>VLOOKUP(B6,Config!$A$22:$E$26,5,TRUE)</f>
        <v>1</v>
      </c>
      <c r="C17" s="85">
        <f>VLOOKUP(C6,Config!$A$22:$E$26,5,TRUE)</f>
        <v>0.9</v>
      </c>
      <c r="D17" s="85">
        <f>VLOOKUP(D6,Config!$A$22:$E$26,5,TRUE)</f>
        <v>0.82000000000000006</v>
      </c>
    </row>
    <row r="18" spans="1:5" x14ac:dyDescent="0.3">
      <c r="A18" s="56" t="s">
        <v>317</v>
      </c>
      <c r="B18" s="86" t="str">
        <f>VLOOKUP(B6,Config!$A$22:$E$26,3,TRUE)</f>
        <v>SMB</v>
      </c>
      <c r="C18" s="86" t="str">
        <f>VLOOKUP(C6,Config!$A$22:$E$26,3,TRUE)</f>
        <v>Upper mid</v>
      </c>
      <c r="D18" s="86" t="str">
        <f>VLOOKUP(D6,Config!$A$22:$E$26,3,TRUE)</f>
        <v>Large</v>
      </c>
    </row>
    <row r="19" spans="1:5" x14ac:dyDescent="0.3">
      <c r="A19" s="56" t="s">
        <v>318</v>
      </c>
      <c r="B19" s="87">
        <f>1-B16*B17</f>
        <v>0</v>
      </c>
      <c r="C19" s="87">
        <f>1-C16*C17</f>
        <v>0.18999999999999995</v>
      </c>
      <c r="D19" s="87">
        <f>1-D16*D17</f>
        <v>0.30299999999999994</v>
      </c>
    </row>
    <row r="20" spans="1:5" ht="15.65" x14ac:dyDescent="0.3">
      <c r="A20" s="88" t="s">
        <v>319</v>
      </c>
      <c r="B20" s="51">
        <f>SUMPRODUCT(B8:B12*Config!$D$5:$D$9*B6)*B16*B17</f>
        <v>13833.333333333332</v>
      </c>
      <c r="C20" s="51">
        <f>SUMPRODUCT(C8:C12*Config!$D$5:$D$9*C6)*C16*C17</f>
        <v>174960</v>
      </c>
      <c r="D20" s="51">
        <f>SUMPRODUCT(D8:D12*Config!$D$5:$D$9*D6)*D16*D17</f>
        <v>1559049.6</v>
      </c>
    </row>
    <row r="21" spans="1:5" ht="15.65" x14ac:dyDescent="0.3">
      <c r="A21" s="88" t="s">
        <v>320</v>
      </c>
      <c r="B21" s="51">
        <f>B20*12</f>
        <v>166000</v>
      </c>
      <c r="C21" s="51">
        <f>C20*12</f>
        <v>2099520</v>
      </c>
      <c r="D21" s="51">
        <f>D20*12</f>
        <v>18708595.200000003</v>
      </c>
    </row>
    <row r="22" spans="1:5" x14ac:dyDescent="0.3">
      <c r="A22" s="42" t="s">
        <v>321</v>
      </c>
      <c r="B22" s="89">
        <f>SUMPRODUCT(B8:B12*Config!$B$5:$B$9*B6)</f>
        <v>4150</v>
      </c>
      <c r="C22" s="89">
        <f>SUMPRODUCT(C8:C12*Config!$B$5:$B$9*C6)</f>
        <v>54000</v>
      </c>
      <c r="D22" s="89">
        <f>SUMPRODUCT(D8:D12*Config!$B$5:$B$9*D6)</f>
        <v>559200</v>
      </c>
    </row>
    <row r="23" spans="1:5" x14ac:dyDescent="0.3">
      <c r="A23" s="42" t="s">
        <v>322</v>
      </c>
      <c r="B23" s="90">
        <f>B20-B22</f>
        <v>9683.3333333333321</v>
      </c>
      <c r="C23" s="90">
        <f>C20-C22</f>
        <v>120960</v>
      </c>
      <c r="D23" s="90">
        <f>D20-D22</f>
        <v>999849.60000000009</v>
      </c>
    </row>
    <row r="24" spans="1:5" x14ac:dyDescent="0.3">
      <c r="A24" s="91" t="s">
        <v>323</v>
      </c>
      <c r="B24" s="92">
        <f>IFERROR(B23/B20,0)</f>
        <v>0.7</v>
      </c>
      <c r="C24" s="92">
        <f>IFERROR(C23/C20,0)</f>
        <v>0.69135802469135799</v>
      </c>
      <c r="D24" s="92">
        <f>IFERROR(D23/D20,0)</f>
        <v>0.64131994261119085</v>
      </c>
    </row>
    <row r="25" spans="1:5" x14ac:dyDescent="0.3">
      <c r="A25" s="42" t="s">
        <v>324</v>
      </c>
      <c r="B25" s="89">
        <f>IFERROR(B20/B6,0)</f>
        <v>276.66666666666663</v>
      </c>
      <c r="C25" s="89">
        <f>IFERROR(C20/C6,0)</f>
        <v>699.84</v>
      </c>
      <c r="D25" s="89">
        <f>IFERROR(D20/D6,0)</f>
        <v>1299.2080000000001</v>
      </c>
    </row>
    <row r="27" spans="1:5" x14ac:dyDescent="0.3">
      <c r="A27" s="102" t="s">
        <v>325</v>
      </c>
      <c r="B27" s="100"/>
      <c r="C27" s="100"/>
      <c r="D27" s="100"/>
      <c r="E27" s="100"/>
    </row>
  </sheetData>
  <mergeCells count="3">
    <mergeCell ref="A2:E2"/>
    <mergeCell ref="A1:E1"/>
    <mergeCell ref="A27:E27"/>
  </mergeCells>
  <conditionalFormatting sqref="B24:D24">
    <cfRule type="cellIs" dxfId="2" priority="1" operator="lessThan">
      <formula>0.5</formula>
    </cfRule>
    <cfRule type="cellIs" dxfId="1" priority="2" operator="between">
      <formula>0.5</formula>
      <formula>0.6</formula>
    </cfRule>
    <cfRule type="cellIs" dxfId="0" priority="3" operator="greaterThanOrEqual">
      <formula>0.6</formula>
    </cfRule>
  </conditionalFormatting>
  <pageMargins left="0.75" right="0.75" top="1" bottom="1" header="0.5" footer="0.5"/>
  <drawing r:id="rId1"/>
  <legacyDrawing r:id="rId2"/>
  <mc:AlternateContent xmlns:mc="http://schemas.openxmlformats.org/markup-compatibility/2006">
    <mc:Choice Requires="x14">
      <controls>
        <mc:AlternateContent xmlns:mc="http://schemas.openxmlformats.org/markup-compatibility/2006">
          <mc:Choice Requires="x14">
            <control shapeId="2049" r:id="rId3" name="Check Box 1">
              <controlPr defaultSize="0" autoFill="0" autoLine="0" autoPict="0">
                <anchor moveWithCells="1">
                  <from>
                    <xdr:col>1</xdr:col>
                    <xdr:colOff>667910</xdr:colOff>
                    <xdr:row>7</xdr:row>
                    <xdr:rowOff>39757</xdr:rowOff>
                  </from>
                  <to>
                    <xdr:col>1</xdr:col>
                    <xdr:colOff>866692</xdr:colOff>
                    <xdr:row>7</xdr:row>
                    <xdr:rowOff>254442</xdr:rowOff>
                  </to>
                </anchor>
              </controlPr>
            </control>
          </mc:Choice>
        </mc:AlternateContent>
        <mc:AlternateContent xmlns:mc="http://schemas.openxmlformats.org/markup-compatibility/2006">
          <mc:Choice Requires="x14">
            <control shapeId="2050" r:id="rId4" name="Check Box 2">
              <controlPr defaultSize="0" autoFill="0" autoLine="0" autoPict="0">
                <anchor moveWithCells="1">
                  <from>
                    <xdr:col>1</xdr:col>
                    <xdr:colOff>667910</xdr:colOff>
                    <xdr:row>8</xdr:row>
                    <xdr:rowOff>39757</xdr:rowOff>
                  </from>
                  <to>
                    <xdr:col>1</xdr:col>
                    <xdr:colOff>866692</xdr:colOff>
                    <xdr:row>8</xdr:row>
                    <xdr:rowOff>254442</xdr:rowOff>
                  </to>
                </anchor>
              </controlPr>
            </control>
          </mc:Choice>
        </mc:AlternateContent>
        <mc:AlternateContent xmlns:mc="http://schemas.openxmlformats.org/markup-compatibility/2006">
          <mc:Choice Requires="x14">
            <control shapeId="2051" r:id="rId5" name="Check Box 3">
              <controlPr defaultSize="0" autoFill="0" autoLine="0" autoPict="0">
                <anchor moveWithCells="1">
                  <from>
                    <xdr:col>1</xdr:col>
                    <xdr:colOff>667910</xdr:colOff>
                    <xdr:row>9</xdr:row>
                    <xdr:rowOff>39757</xdr:rowOff>
                  </from>
                  <to>
                    <xdr:col>1</xdr:col>
                    <xdr:colOff>866692</xdr:colOff>
                    <xdr:row>9</xdr:row>
                    <xdr:rowOff>254442</xdr:rowOff>
                  </to>
                </anchor>
              </controlPr>
            </control>
          </mc:Choice>
        </mc:AlternateContent>
        <mc:AlternateContent xmlns:mc="http://schemas.openxmlformats.org/markup-compatibility/2006">
          <mc:Choice Requires="x14">
            <control shapeId="2052" r:id="rId6" name="Check Box 4">
              <controlPr defaultSize="0" autoFill="0" autoLine="0" autoPict="0">
                <anchor moveWithCells="1">
                  <from>
                    <xdr:col>1</xdr:col>
                    <xdr:colOff>667910</xdr:colOff>
                    <xdr:row>10</xdr:row>
                    <xdr:rowOff>39757</xdr:rowOff>
                  </from>
                  <to>
                    <xdr:col>1</xdr:col>
                    <xdr:colOff>866692</xdr:colOff>
                    <xdr:row>10</xdr:row>
                    <xdr:rowOff>254442</xdr:rowOff>
                  </to>
                </anchor>
              </controlPr>
            </control>
          </mc:Choice>
        </mc:AlternateContent>
        <mc:AlternateContent xmlns:mc="http://schemas.openxmlformats.org/markup-compatibility/2006">
          <mc:Choice Requires="x14">
            <control shapeId="2053" r:id="rId7" name="Check Box 5">
              <controlPr defaultSize="0" autoFill="0" autoLine="0" autoPict="0">
                <anchor moveWithCells="1">
                  <from>
                    <xdr:col>1</xdr:col>
                    <xdr:colOff>667910</xdr:colOff>
                    <xdr:row>11</xdr:row>
                    <xdr:rowOff>39757</xdr:rowOff>
                  </from>
                  <to>
                    <xdr:col>1</xdr:col>
                    <xdr:colOff>866692</xdr:colOff>
                    <xdr:row>11</xdr:row>
                    <xdr:rowOff>254442</xdr:rowOff>
                  </to>
                </anchor>
              </controlPr>
            </control>
          </mc:Choice>
        </mc:AlternateContent>
        <mc:AlternateContent xmlns:mc="http://schemas.openxmlformats.org/markup-compatibility/2006">
          <mc:Choice Requires="x14">
            <control shapeId="2054" r:id="rId8" name="Check Box 6">
              <controlPr defaultSize="0" autoFill="0" autoLine="0" autoPict="0">
                <anchor moveWithCells="1">
                  <from>
                    <xdr:col>2</xdr:col>
                    <xdr:colOff>667910</xdr:colOff>
                    <xdr:row>7</xdr:row>
                    <xdr:rowOff>39757</xdr:rowOff>
                  </from>
                  <to>
                    <xdr:col>2</xdr:col>
                    <xdr:colOff>866692</xdr:colOff>
                    <xdr:row>7</xdr:row>
                    <xdr:rowOff>254442</xdr:rowOff>
                  </to>
                </anchor>
              </controlPr>
            </control>
          </mc:Choice>
        </mc:AlternateContent>
        <mc:AlternateContent xmlns:mc="http://schemas.openxmlformats.org/markup-compatibility/2006">
          <mc:Choice Requires="x14">
            <control shapeId="2055" r:id="rId9" name="Check Box 7">
              <controlPr defaultSize="0" autoFill="0" autoLine="0" autoPict="0">
                <anchor moveWithCells="1">
                  <from>
                    <xdr:col>2</xdr:col>
                    <xdr:colOff>667910</xdr:colOff>
                    <xdr:row>8</xdr:row>
                    <xdr:rowOff>39757</xdr:rowOff>
                  </from>
                  <to>
                    <xdr:col>2</xdr:col>
                    <xdr:colOff>866692</xdr:colOff>
                    <xdr:row>8</xdr:row>
                    <xdr:rowOff>254442</xdr:rowOff>
                  </to>
                </anchor>
              </controlPr>
            </control>
          </mc:Choice>
        </mc:AlternateContent>
        <mc:AlternateContent xmlns:mc="http://schemas.openxmlformats.org/markup-compatibility/2006">
          <mc:Choice Requires="x14">
            <control shapeId="2056" r:id="rId10" name="Check Box 8">
              <controlPr defaultSize="0" autoFill="0" autoLine="0" autoPict="0">
                <anchor moveWithCells="1">
                  <from>
                    <xdr:col>2</xdr:col>
                    <xdr:colOff>667910</xdr:colOff>
                    <xdr:row>9</xdr:row>
                    <xdr:rowOff>39757</xdr:rowOff>
                  </from>
                  <to>
                    <xdr:col>2</xdr:col>
                    <xdr:colOff>866692</xdr:colOff>
                    <xdr:row>9</xdr:row>
                    <xdr:rowOff>254442</xdr:rowOff>
                  </to>
                </anchor>
              </controlPr>
            </control>
          </mc:Choice>
        </mc:AlternateContent>
        <mc:AlternateContent xmlns:mc="http://schemas.openxmlformats.org/markup-compatibility/2006">
          <mc:Choice Requires="x14">
            <control shapeId="2057" r:id="rId11" name="Check Box 9">
              <controlPr defaultSize="0" autoFill="0" autoLine="0" autoPict="0">
                <anchor moveWithCells="1">
                  <from>
                    <xdr:col>2</xdr:col>
                    <xdr:colOff>667910</xdr:colOff>
                    <xdr:row>10</xdr:row>
                    <xdr:rowOff>39757</xdr:rowOff>
                  </from>
                  <to>
                    <xdr:col>2</xdr:col>
                    <xdr:colOff>866692</xdr:colOff>
                    <xdr:row>10</xdr:row>
                    <xdr:rowOff>254442</xdr:rowOff>
                  </to>
                </anchor>
              </controlPr>
            </control>
          </mc:Choice>
        </mc:AlternateContent>
        <mc:AlternateContent xmlns:mc="http://schemas.openxmlformats.org/markup-compatibility/2006">
          <mc:Choice Requires="x14">
            <control shapeId="2058" r:id="rId12" name="Check Box 10">
              <controlPr defaultSize="0" autoFill="0" autoLine="0" autoPict="0">
                <anchor moveWithCells="1">
                  <from>
                    <xdr:col>2</xdr:col>
                    <xdr:colOff>667910</xdr:colOff>
                    <xdr:row>11</xdr:row>
                    <xdr:rowOff>39757</xdr:rowOff>
                  </from>
                  <to>
                    <xdr:col>2</xdr:col>
                    <xdr:colOff>866692</xdr:colOff>
                    <xdr:row>11</xdr:row>
                    <xdr:rowOff>254442</xdr:rowOff>
                  </to>
                </anchor>
              </controlPr>
            </control>
          </mc:Choice>
        </mc:AlternateContent>
        <mc:AlternateContent xmlns:mc="http://schemas.openxmlformats.org/markup-compatibility/2006">
          <mc:Choice Requires="x14">
            <control shapeId="2059" r:id="rId13" name="Check Box 11">
              <controlPr defaultSize="0" autoFill="0" autoLine="0" autoPict="0">
                <anchor moveWithCells="1">
                  <from>
                    <xdr:col>3</xdr:col>
                    <xdr:colOff>667910</xdr:colOff>
                    <xdr:row>7</xdr:row>
                    <xdr:rowOff>39757</xdr:rowOff>
                  </from>
                  <to>
                    <xdr:col>3</xdr:col>
                    <xdr:colOff>866692</xdr:colOff>
                    <xdr:row>7</xdr:row>
                    <xdr:rowOff>254442</xdr:rowOff>
                  </to>
                </anchor>
              </controlPr>
            </control>
          </mc:Choice>
        </mc:AlternateContent>
        <mc:AlternateContent xmlns:mc="http://schemas.openxmlformats.org/markup-compatibility/2006">
          <mc:Choice Requires="x14">
            <control shapeId="2060" r:id="rId14" name="Check Box 12">
              <controlPr defaultSize="0" autoFill="0" autoLine="0" autoPict="0">
                <anchor moveWithCells="1">
                  <from>
                    <xdr:col>3</xdr:col>
                    <xdr:colOff>667910</xdr:colOff>
                    <xdr:row>8</xdr:row>
                    <xdr:rowOff>39757</xdr:rowOff>
                  </from>
                  <to>
                    <xdr:col>3</xdr:col>
                    <xdr:colOff>866692</xdr:colOff>
                    <xdr:row>8</xdr:row>
                    <xdr:rowOff>254442</xdr:rowOff>
                  </to>
                </anchor>
              </controlPr>
            </control>
          </mc:Choice>
        </mc:AlternateContent>
        <mc:AlternateContent xmlns:mc="http://schemas.openxmlformats.org/markup-compatibility/2006">
          <mc:Choice Requires="x14">
            <control shapeId="2061" r:id="rId15" name="Check Box 13">
              <controlPr defaultSize="0" autoFill="0" autoLine="0" autoPict="0">
                <anchor moveWithCells="1">
                  <from>
                    <xdr:col>3</xdr:col>
                    <xdr:colOff>667910</xdr:colOff>
                    <xdr:row>9</xdr:row>
                    <xdr:rowOff>39757</xdr:rowOff>
                  </from>
                  <to>
                    <xdr:col>3</xdr:col>
                    <xdr:colOff>866692</xdr:colOff>
                    <xdr:row>9</xdr:row>
                    <xdr:rowOff>254442</xdr:rowOff>
                  </to>
                </anchor>
              </controlPr>
            </control>
          </mc:Choice>
        </mc:AlternateContent>
        <mc:AlternateContent xmlns:mc="http://schemas.openxmlformats.org/markup-compatibility/2006">
          <mc:Choice Requires="x14">
            <control shapeId="2062" r:id="rId16" name="Check Box 14">
              <controlPr defaultSize="0" autoFill="0" autoLine="0" autoPict="0">
                <anchor moveWithCells="1">
                  <from>
                    <xdr:col>3</xdr:col>
                    <xdr:colOff>667910</xdr:colOff>
                    <xdr:row>10</xdr:row>
                    <xdr:rowOff>39757</xdr:rowOff>
                  </from>
                  <to>
                    <xdr:col>3</xdr:col>
                    <xdr:colOff>866692</xdr:colOff>
                    <xdr:row>10</xdr:row>
                    <xdr:rowOff>254442</xdr:rowOff>
                  </to>
                </anchor>
              </controlPr>
            </control>
          </mc:Choice>
        </mc:AlternateContent>
        <mc:AlternateContent xmlns:mc="http://schemas.openxmlformats.org/markup-compatibility/2006">
          <mc:Choice Requires="x14">
            <control shapeId="2063" r:id="rId17" name="Check Box 15">
              <controlPr defaultSize="0" autoFill="0" autoLine="0" autoPict="0">
                <anchor moveWithCells="1">
                  <from>
                    <xdr:col>3</xdr:col>
                    <xdr:colOff>667910</xdr:colOff>
                    <xdr:row>11</xdr:row>
                    <xdr:rowOff>39757</xdr:rowOff>
                  </from>
                  <to>
                    <xdr:col>3</xdr:col>
                    <xdr:colOff>866692</xdr:colOff>
                    <xdr:row>11</xdr:row>
                    <xdr:rowOff>254442</xdr:rowOff>
                  </to>
                </anchor>
              </controlPr>
            </control>
          </mc:Choice>
        </mc:AlternateContent>
      </controls>
    </mc:Choice>
  </mc:AlternateContent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4" baseType="variant">
      <vt:variant>
        <vt:lpstr>Worksheets</vt:lpstr>
      </vt:variant>
      <vt:variant>
        <vt:i4>8</vt:i4>
      </vt:variant>
      <vt:variant>
        <vt:lpstr>Named Ranges</vt:lpstr>
      </vt:variant>
      <vt:variant>
        <vt:i4>1</vt:i4>
      </vt:variant>
    </vt:vector>
  </HeadingPairs>
  <TitlesOfParts>
    <vt:vector size="9" baseType="lpstr">
      <vt:lpstr>Calculator</vt:lpstr>
      <vt:lpstr>Hardware</vt:lpstr>
      <vt:lpstr>Rental</vt:lpstr>
      <vt:lpstr>Implementation</vt:lpstr>
      <vt:lpstr>Customer Quote</vt:lpstr>
      <vt:lpstr>Internal Margin</vt:lpstr>
      <vt:lpstr>Config</vt:lpstr>
      <vt:lpstr>Scenarios</vt:lpstr>
      <vt:lpstr>'Customer Quote'!Print_Area</vt:lpstr>
    </vt:vector>
  </TitlesOfParts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openpyxl</dc:creator>
  <cp:lastModifiedBy>Wesley Phillips</cp:lastModifiedBy>
  <dcterms:created xsi:type="dcterms:W3CDTF">2026-05-29T12:18:40Z</dcterms:created>
  <dcterms:modified xsi:type="dcterms:W3CDTF">2026-06-30T12:30:48Z</dcterms:modified>
</cp:coreProperties>
</file>